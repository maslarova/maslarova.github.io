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40" windowHeight="7040"/>
  </bookViews>
  <sheets>
    <sheet name="VÝKAZ" sheetId="3" r:id="rId1"/>
  </sheets>
  <calcPr calcId="162913"/>
</workbook>
</file>

<file path=xl/calcChain.xml><?xml version="1.0" encoding="utf-8"?>
<calcChain xmlns="http://schemas.openxmlformats.org/spreadsheetml/2006/main">
  <c r="P22" i="3" l="1"/>
  <c r="M7" i="3" l="1"/>
  <c r="P28" i="3"/>
  <c r="P23" i="3"/>
  <c r="G60" i="3"/>
  <c r="G59" i="3"/>
  <c r="G57" i="3"/>
  <c r="E60" i="3"/>
  <c r="E59" i="3"/>
  <c r="E57" i="3"/>
  <c r="P17" i="3" s="1"/>
  <c r="L72" i="3" l="1"/>
  <c r="I72" i="3"/>
  <c r="A23" i="3" l="1"/>
  <c r="A29" i="3" s="1"/>
  <c r="A35" i="3" s="1"/>
  <c r="A41" i="3" s="1"/>
  <c r="A47" i="3" s="1"/>
  <c r="P54" i="3" l="1"/>
  <c r="G63" i="3"/>
  <c r="E63" i="3"/>
  <c r="F56" i="3" l="1"/>
  <c r="G56" i="3"/>
  <c r="I56" i="3" s="1"/>
  <c r="K56" i="3" s="1"/>
  <c r="M56" i="3" s="1"/>
  <c r="O56" i="3" s="1"/>
  <c r="F10" i="3"/>
  <c r="G10" i="3"/>
  <c r="I10" i="3" s="1"/>
  <c r="K10" i="3" s="1"/>
  <c r="M10" i="3" s="1"/>
  <c r="O10" i="3" s="1"/>
</calcChain>
</file>

<file path=xl/comments1.xml><?xml version="1.0" encoding="utf-8"?>
<comments xmlns="http://schemas.openxmlformats.org/spreadsheetml/2006/main">
  <authors>
    <author>Autor</author>
  </authors>
  <commentList>
    <comment ref="E6" authorId="0" shapeId="0">
      <text>
        <r>
          <rPr>
            <b/>
            <sz val="9"/>
            <color indexed="81"/>
            <rFont val="Tahoma"/>
            <family val="2"/>
            <charset val="238"/>
          </rPr>
          <t>Autor:</t>
        </r>
        <r>
          <rPr>
            <sz val="9"/>
            <color indexed="81"/>
            <rFont val="Tahoma"/>
            <family val="2"/>
            <charset val="238"/>
          </rPr>
          <t xml:space="preserve">
Vyplňte své jméno a příjmení, včetně titulů.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  <charset val="238"/>
          </rPr>
          <t>Autor:</t>
        </r>
        <r>
          <rPr>
            <sz val="9"/>
            <color indexed="81"/>
            <rFont val="Tahoma"/>
            <family val="2"/>
            <charset val="238"/>
          </rPr>
          <t xml:space="preserve">
Vyberte svou pracovní pozici v projektu CAAS (dle pracovní náplně).</t>
        </r>
      </text>
    </comment>
    <comment ref="E16" authorId="0" shapeId="0">
      <text>
        <r>
          <rPr>
            <sz val="9"/>
            <color indexed="81"/>
            <rFont val="Tahoma"/>
            <family val="2"/>
            <charset val="238"/>
          </rPr>
          <t xml:space="preserve">Uveďte popis činností, které byly v rámci dané skupiny činností vykonávány ve sledovaném období a současně uveďte i průběžné výstupy práce za dané období.
Nevyplňujte detail, který den přesně danou činnost vykonával, s výjimkou akcí např. účasti na služební cestě, poradě, workshopu, vzdělávacím kurzu, konferenci apod., u kterých uvádí datum vždy (období konání).
Hodiny související s dovolenou, svátky, pracovní neschopností a dalšími překážkami/indispozičním volnem se do této části nevyplňují.  
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38"/>
          </rPr>
          <t>Počítá se automaticky dle počtu hodin uvedených v přehledu činností vykonaných pro projekt v režimu přímých výdajů.</t>
        </r>
      </text>
    </comment>
    <comment ref="A57" authorId="0" shapeId="0">
      <text>
        <r>
          <rPr>
            <sz val="9"/>
            <color indexed="81"/>
            <rFont val="Tahoma"/>
            <family val="2"/>
            <charset val="238"/>
          </rPr>
          <t>Vyplňuje se automaticky.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38"/>
          </rPr>
          <t>V případě nařízených přesčasových hodin uveďte pouze počet těchto odpracovaných hodin. Přesčas však může být pouze za podmínek stanovených zákoníkem práce.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38"/>
          </rPr>
          <t>Nezapočítávají se hodiny odpovídající úvazku v prvních třech dnech pracovní neschopnosti, kdy nemocenská není vyplácena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38"/>
          </rPr>
          <t>Počet odpracovaných a z projektu v režimu přímých výdajů hrazených hodin vč. počtu hodin náhrad za svátek, dovolenou, pracovní neschopnost a další překážky v práci/ indispozičním volnem</t>
        </r>
      </text>
    </comment>
  </commentList>
</comments>
</file>

<file path=xl/sharedStrings.xml><?xml version="1.0" encoding="utf-8"?>
<sst xmlns="http://schemas.openxmlformats.org/spreadsheetml/2006/main" count="99" uniqueCount="63">
  <si>
    <t>PRACOVNÍ VÝKAZ</t>
  </si>
  <si>
    <t>Registrační číslo projektu</t>
  </si>
  <si>
    <t>Název projektu</t>
  </si>
  <si>
    <t>Jméno a příjmení</t>
  </si>
  <si>
    <t>Typ pracovněprávního vztahu, k němuž se vztahuje tento výkaz</t>
  </si>
  <si>
    <t>Název pozice</t>
  </si>
  <si>
    <t xml:space="preserve">Kód položky rozpočtu </t>
  </si>
  <si>
    <t>Celková výše úvazku u všech zaměstnavatelů zapojených do realizace projektu</t>
  </si>
  <si>
    <t>Název skupiny činností</t>
  </si>
  <si>
    <t>Počet hodin</t>
  </si>
  <si>
    <t>1.</t>
  </si>
  <si>
    <t>2.</t>
  </si>
  <si>
    <t>3.</t>
  </si>
  <si>
    <t>4.</t>
  </si>
  <si>
    <t>5.</t>
  </si>
  <si>
    <t>Prohlašuji, že veškeré údaje uvedené v tomto pracovním výkazu jsou pravdivé.</t>
  </si>
  <si>
    <t>Datum</t>
  </si>
  <si>
    <t>Název příjemce/partnera *)</t>
  </si>
  <si>
    <t>Čestné prohlášení pracovníka:</t>
  </si>
  <si>
    <t xml:space="preserve">*) Nehodící se škrtněte nebo odstraňte. </t>
  </si>
  <si>
    <t>Celková výše úvazku u zaměstnavatele, u kterého je sjednána prokazovaná pozice</t>
  </si>
  <si>
    <t>Výše úvazku pro projekt v režimu přímých výdajů</t>
  </si>
  <si>
    <t xml:space="preserve">Konec sledovaného období k datu </t>
  </si>
  <si>
    <t xml:space="preserve">Začátek sledovaného období k datu </t>
  </si>
  <si>
    <t>Výše úvazku</t>
  </si>
  <si>
    <t>z toho počet hodin přesčas</t>
  </si>
  <si>
    <t>Jméno a příjmení, titul</t>
  </si>
  <si>
    <t>Funkce</t>
  </si>
  <si>
    <t>Podpis</t>
  </si>
  <si>
    <t>Vypracoval:</t>
  </si>
  <si>
    <t>Schválil:</t>
  </si>
  <si>
    <t>Klíčová aktivita</t>
  </si>
  <si>
    <t>Poř. číslo</t>
  </si>
  <si>
    <t>měsíc</t>
  </si>
  <si>
    <t xml:space="preserve"> Popis činností včetně průběžných výstupů práce za dané období</t>
  </si>
  <si>
    <t>celkem hodin za měsíc</t>
  </si>
  <si>
    <t>Přehled činností vykonaných pro projekt a hrazených z projektu v režimu přímých výdajů včetně průběžných výstupů práce za dané období</t>
  </si>
  <si>
    <r>
      <t xml:space="preserve">Počet skutečně odpracovaných a hrazených hodin pro projekt </t>
    </r>
    <r>
      <rPr>
        <b/>
        <sz val="10"/>
        <color indexed="17"/>
        <rFont val="Arial"/>
        <family val="2"/>
        <charset val="238"/>
      </rPr>
      <t xml:space="preserve"> </t>
    </r>
    <r>
      <rPr>
        <b/>
        <sz val="10"/>
        <rFont val="Arial"/>
        <family val="2"/>
      </rPr>
      <t>v režimu přímých výdajů za sledované období</t>
    </r>
  </si>
  <si>
    <t>Počet odpracovaných a hrazených hodin včetně případných přesčasových hodin</t>
  </si>
  <si>
    <t>Počet hodin pracovní neschopnosti, za něž je z projektu hrazena náhrada</t>
  </si>
  <si>
    <t>Počet hodin placeného svátku hrazených z projektu</t>
  </si>
  <si>
    <t>Počet hodin dovolené hrazených z projektu</t>
  </si>
  <si>
    <t>Součet hodin odpracovaných a hrazených z projektu v režimu přímých výdajů</t>
  </si>
  <si>
    <t>Poznámka:</t>
  </si>
  <si>
    <t>Počet hodin ostatních překážek v práci a indispozičního volna hrazených z projektu</t>
  </si>
  <si>
    <t>Centrum pokročilých aplikovaných přírodních věd</t>
  </si>
  <si>
    <t>České vysoké učení technické v Praze</t>
  </si>
  <si>
    <t>CZ.02.1.01/0.0/0.0/16_019/0000778</t>
  </si>
  <si>
    <t>únor</t>
  </si>
  <si>
    <t>Počet odpracovaných dnů v měsíci</t>
  </si>
  <si>
    <t>Počet dnů dovolené v měsíci</t>
  </si>
  <si>
    <t>Počet dnů pracovní neschopnosti v měsíci</t>
  </si>
  <si>
    <t>Únor 2019 (počet prac. dnů: 20)</t>
  </si>
  <si>
    <t>Březen 2019 (počet prac. dnů: 21)</t>
  </si>
  <si>
    <t>Pracovní smlouva</t>
  </si>
  <si>
    <t>Excelentní vědecký pracovník ČVUT</t>
  </si>
  <si>
    <t>Mladý vědecký pracovník ČVUT</t>
  </si>
  <si>
    <t>Klíčový vědecký pracovník ČVUT</t>
  </si>
  <si>
    <t>Vědecký pracovník ČVUT</t>
  </si>
  <si>
    <t>Technik ČVUT</t>
  </si>
  <si>
    <t>Doktorand ČVUT</t>
  </si>
  <si>
    <t>doc. Ing. Miroslav Čech, CSc.</t>
  </si>
  <si>
    <t>Vedoucí KFE FJFI ČVUT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</si>
</sst>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K_č_-;\-* #,##0.00\ _K_č_-;_-* &quot;-&quot;??\ _K_č_-;_-@_-"/>
    <numFmt numFmtId="164" formatCode="mmmm"/>
    <numFmt numFmtId="165" formatCode="[$-405]mmmm\ 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17"/>
      <name val="Arial"/>
      <family val="2"/>
      <charset val="238"/>
    </font>
    <font>
      <sz val="9"/>
      <color indexed="81"/>
      <name val="Tahoma"/>
      <family val="2"/>
      <charset val="238"/>
    </font>
    <font>
      <sz val="9"/>
      <color theme="1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16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indexed="8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30" xfId="0" applyNumberFormat="1" applyFont="1" applyFill="1" applyBorder="1" applyAlignment="1" applyProtection="1">
      <alignment horizontal="center" vertical="center" wrapText="1"/>
      <protection locked="0"/>
    </xf>
    <xf numFmtId="2" fontId="3" fillId="5" borderId="10" xfId="0" applyNumberFormat="1" applyFont="1" applyFill="1" applyBorder="1" applyAlignment="1" applyProtection="1">
      <alignment horizontal="center" vertical="center" wrapText="1"/>
      <protection locked="0"/>
    </xf>
    <xf numFmtId="2" fontId="3" fillId="5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2" fillId="5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5" borderId="30" xfId="0" applyFont="1" applyFill="1" applyBorder="1" applyAlignment="1" applyProtection="1">
      <alignment horizontal="center" vertical="center" wrapText="1"/>
      <protection locked="0"/>
    </xf>
    <xf numFmtId="0" fontId="10" fillId="0" borderId="30" xfId="0" applyFont="1" applyFill="1" applyBorder="1" applyAlignment="1" applyProtection="1">
      <alignment horizontal="center" vertical="center" wrapText="1"/>
      <protection hidden="1"/>
    </xf>
    <xf numFmtId="0" fontId="2" fillId="0" borderId="30" xfId="0" applyFont="1" applyFill="1" applyBorder="1" applyAlignment="1" applyProtection="1">
      <alignment horizontal="center" vertical="center" wrapText="1"/>
      <protection hidden="1"/>
    </xf>
    <xf numFmtId="0" fontId="3" fillId="0" borderId="30" xfId="0" applyNumberFormat="1" applyFont="1" applyFill="1" applyBorder="1" applyAlignment="1" applyProtection="1">
      <alignment horizontal="center" vertical="center" wrapText="1"/>
      <protection hidden="1"/>
    </xf>
    <xf numFmtId="2" fontId="3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3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3" fillId="0" borderId="10" xfId="0" applyNumberFormat="1" applyFont="1" applyFill="1" applyBorder="1" applyAlignment="1" applyProtection="1">
      <alignment horizontal="center" vertical="center" wrapText="1"/>
      <protection hidden="1"/>
    </xf>
    <xf numFmtId="2" fontId="2" fillId="2" borderId="4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NumberFormat="1" applyFont="1" applyFill="1" applyBorder="1" applyAlignment="1" applyProtection="1">
      <alignment horizontal="left" vertical="center"/>
      <protection hidden="1"/>
    </xf>
    <xf numFmtId="2" fontId="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1" fontId="3" fillId="0" borderId="0" xfId="0" applyNumberFormat="1" applyFont="1" applyAlignment="1" applyProtection="1">
      <alignment vertical="center"/>
      <protection hidden="1"/>
    </xf>
    <xf numFmtId="2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Alignment="1" applyProtection="1">
      <alignment vertical="center"/>
      <protection hidden="1"/>
    </xf>
    <xf numFmtId="4" fontId="2" fillId="0" borderId="0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165" fontId="3" fillId="0" borderId="0" xfId="0" applyNumberFormat="1" applyFont="1" applyFill="1" applyAlignment="1" applyProtection="1">
      <alignment vertical="center"/>
      <protection hidden="1"/>
    </xf>
    <xf numFmtId="0" fontId="3" fillId="0" borderId="0" xfId="0" applyFont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horizontal="left" vertical="center"/>
      <protection hidden="1"/>
    </xf>
    <xf numFmtId="0" fontId="10" fillId="0" borderId="0" xfId="0" applyFont="1" applyBorder="1" applyAlignment="1" applyProtection="1">
      <alignment vertical="center"/>
      <protection hidden="1"/>
    </xf>
    <xf numFmtId="0" fontId="4" fillId="0" borderId="0" xfId="0" applyFont="1" applyBorder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0" fontId="0" fillId="0" borderId="0" xfId="0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4" fillId="2" borderId="30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10" fillId="3" borderId="20" xfId="0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Border="1" applyAlignment="1" applyProtection="1">
      <alignment horizontal="center" vertical="center"/>
      <protection hidden="1"/>
    </xf>
    <xf numFmtId="0" fontId="4" fillId="3" borderId="0" xfId="0" applyFont="1" applyFill="1" applyBorder="1" applyAlignment="1" applyProtection="1">
      <alignment horizontal="left" vertical="center"/>
      <protection hidden="1"/>
    </xf>
    <xf numFmtId="49" fontId="13" fillId="0" borderId="0" xfId="0" applyNumberFormat="1" applyFont="1" applyProtection="1">
      <protection hidden="1"/>
    </xf>
    <xf numFmtId="0" fontId="14" fillId="0" borderId="0" xfId="0" applyFont="1" applyProtection="1">
      <protection hidden="1"/>
    </xf>
    <xf numFmtId="0" fontId="15" fillId="3" borderId="1" xfId="0" applyFont="1" applyFill="1" applyBorder="1" applyAlignment="1" applyProtection="1">
      <alignment vertical="center"/>
      <protection hidden="1"/>
    </xf>
    <xf numFmtId="0" fontId="15" fillId="0" borderId="1" xfId="0" applyFont="1" applyBorder="1" applyProtection="1">
      <protection hidden="1"/>
    </xf>
    <xf numFmtId="0" fontId="2" fillId="3" borderId="0" xfId="0" applyFont="1" applyFill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0" fillId="0" borderId="0" xfId="0" applyBorder="1" applyProtection="1">
      <protection hidden="1"/>
    </xf>
    <xf numFmtId="0" fontId="4" fillId="3" borderId="0" xfId="0" applyFont="1" applyFill="1" applyBorder="1" applyAlignment="1" applyProtection="1">
      <alignment horizontal="left" vertical="center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32" xfId="0" applyFont="1" applyFill="1" applyBorder="1" applyAlignment="1" applyProtection="1">
      <alignment horizontal="center" vertical="center" wrapText="1"/>
      <protection hidden="1"/>
    </xf>
    <xf numFmtId="0" fontId="4" fillId="2" borderId="22" xfId="0" applyFont="1" applyFill="1" applyBorder="1" applyAlignment="1" applyProtection="1">
      <alignment horizontal="center" vertical="center" wrapText="1"/>
      <protection hidden="1"/>
    </xf>
    <xf numFmtId="0" fontId="3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5" borderId="23" xfId="0" applyNumberFormat="1" applyFont="1" applyFill="1" applyBorder="1" applyAlignment="1" applyProtection="1">
      <alignment horizontal="left" vertical="center" wrapText="1"/>
      <protection locked="0"/>
    </xf>
    <xf numFmtId="0" fontId="3" fillId="5" borderId="32" xfId="0" applyNumberFormat="1" applyFont="1" applyFill="1" applyBorder="1" applyAlignment="1" applyProtection="1">
      <alignment horizontal="left" vertical="center" wrapText="1"/>
      <protection locked="0"/>
    </xf>
    <xf numFmtId="0" fontId="3" fillId="5" borderId="22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1" xfId="0" applyFont="1" applyFill="1" applyBorder="1" applyAlignment="1" applyProtection="1">
      <alignment horizontal="center" vertical="center" wrapText="1"/>
      <protection hidden="1"/>
    </xf>
    <xf numFmtId="0" fontId="0" fillId="0" borderId="44" xfId="0" applyBorder="1" applyAlignment="1" applyProtection="1">
      <alignment horizontal="center" vertical="center" wrapText="1"/>
      <protection hidden="1"/>
    </xf>
    <xf numFmtId="0" fontId="0" fillId="0" borderId="45" xfId="0" applyBorder="1" applyAlignment="1" applyProtection="1">
      <alignment horizontal="center" vertical="center" wrapText="1"/>
      <protection hidden="1"/>
    </xf>
    <xf numFmtId="0" fontId="2" fillId="0" borderId="46" xfId="0" applyFont="1" applyFill="1" applyBorder="1" applyAlignment="1" applyProtection="1">
      <alignment horizontal="center" vertical="center" wrapText="1"/>
      <protection hidden="1"/>
    </xf>
    <xf numFmtId="0" fontId="2" fillId="2" borderId="27" xfId="0" applyFont="1" applyFill="1" applyBorder="1" applyAlignment="1" applyProtection="1">
      <alignment horizontal="left" vertical="center" wrapText="1"/>
      <protection hidden="1"/>
    </xf>
    <xf numFmtId="0" fontId="2" fillId="2" borderId="33" xfId="0" applyFont="1" applyFill="1" applyBorder="1" applyAlignment="1" applyProtection="1">
      <alignment horizontal="left" vertical="center" wrapText="1"/>
      <protection hidden="1"/>
    </xf>
    <xf numFmtId="0" fontId="2" fillId="2" borderId="28" xfId="0" applyFont="1" applyFill="1" applyBorder="1" applyAlignment="1" applyProtection="1">
      <alignment horizontal="left" vertical="center" wrapText="1"/>
      <protection hidden="1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hidden="1"/>
    </xf>
    <xf numFmtId="0" fontId="4" fillId="2" borderId="21" xfId="0" applyFont="1" applyFill="1" applyBorder="1" applyAlignment="1" applyProtection="1">
      <alignment horizontal="left" vertical="top" wrapText="1"/>
      <protection hidden="1"/>
    </xf>
    <xf numFmtId="0" fontId="4" fillId="2" borderId="32" xfId="0" applyFont="1" applyFill="1" applyBorder="1" applyAlignment="1" applyProtection="1">
      <alignment horizontal="left" vertical="top" wrapText="1"/>
      <protection hidden="1"/>
    </xf>
    <xf numFmtId="0" fontId="0" fillId="0" borderId="32" xfId="0" applyBorder="1" applyAlignment="1" applyProtection="1">
      <alignment horizontal="left" vertical="top" wrapText="1"/>
      <protection hidden="1"/>
    </xf>
    <xf numFmtId="0" fontId="0" fillId="0" borderId="32" xfId="0" applyBorder="1" applyAlignment="1" applyProtection="1">
      <alignment wrapText="1"/>
      <protection hidden="1"/>
    </xf>
    <xf numFmtId="0" fontId="0" fillId="0" borderId="22" xfId="0" applyBorder="1" applyAlignment="1" applyProtection="1">
      <alignment wrapText="1"/>
      <protection hidden="1"/>
    </xf>
    <xf numFmtId="0" fontId="4" fillId="2" borderId="23" xfId="0" applyFont="1" applyFill="1" applyBorder="1" applyAlignment="1" applyProtection="1">
      <alignment horizontal="left" vertical="top" wrapText="1"/>
      <protection hidden="1"/>
    </xf>
    <xf numFmtId="0" fontId="4" fillId="2" borderId="30" xfId="0" applyFont="1" applyFill="1" applyBorder="1" applyAlignment="1" applyProtection="1">
      <alignment horizontal="left" vertical="top" wrapText="1"/>
      <protection hidden="1"/>
    </xf>
    <xf numFmtId="0" fontId="0" fillId="0" borderId="30" xfId="0" applyBorder="1" applyAlignment="1" applyProtection="1">
      <alignment wrapText="1"/>
      <protection hidden="1"/>
    </xf>
    <xf numFmtId="0" fontId="0" fillId="0" borderId="6" xfId="0" applyBorder="1" applyAlignment="1" applyProtection="1">
      <alignment wrapText="1"/>
      <protection hidden="1"/>
    </xf>
    <xf numFmtId="0" fontId="10" fillId="3" borderId="31" xfId="0" applyFont="1" applyFill="1" applyBorder="1" applyAlignment="1" applyProtection="1">
      <alignment horizontal="left" vertical="center" wrapText="1"/>
      <protection hidden="1"/>
    </xf>
    <xf numFmtId="0" fontId="10" fillId="3" borderId="33" xfId="0" applyFont="1" applyFill="1" applyBorder="1" applyAlignment="1" applyProtection="1">
      <alignment horizontal="left" vertical="center" wrapText="1"/>
      <protection hidden="1"/>
    </xf>
    <xf numFmtId="0" fontId="0" fillId="0" borderId="33" xfId="0" applyBorder="1" applyAlignment="1" applyProtection="1">
      <alignment vertical="center" wrapText="1"/>
      <protection hidden="1"/>
    </xf>
    <xf numFmtId="0" fontId="0" fillId="0" borderId="28" xfId="0" applyBorder="1" applyAlignment="1" applyProtection="1">
      <alignment vertical="center" wrapText="1"/>
      <protection hidden="1"/>
    </xf>
    <xf numFmtId="0" fontId="12" fillId="0" borderId="27" xfId="0" applyFont="1" applyBorder="1" applyAlignment="1" applyProtection="1">
      <alignment vertical="center" wrapText="1"/>
      <protection hidden="1"/>
    </xf>
    <xf numFmtId="0" fontId="12" fillId="0" borderId="33" xfId="0" applyFont="1" applyBorder="1" applyAlignment="1" applyProtection="1">
      <alignment vertical="center" wrapText="1"/>
      <protection hidden="1"/>
    </xf>
    <xf numFmtId="0" fontId="12" fillId="0" borderId="28" xfId="0" applyFont="1" applyBorder="1" applyAlignment="1" applyProtection="1">
      <alignment vertical="center" wrapText="1"/>
      <protection hidden="1"/>
    </xf>
    <xf numFmtId="0" fontId="12" fillId="0" borderId="29" xfId="0" applyFont="1" applyBorder="1" applyAlignment="1" applyProtection="1">
      <alignment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0" fillId="0" borderId="0" xfId="0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left" vertical="center" wrapText="1"/>
      <protection hidden="1"/>
    </xf>
    <xf numFmtId="0" fontId="4" fillId="2" borderId="22" xfId="0" applyFont="1" applyFill="1" applyBorder="1" applyAlignment="1" applyProtection="1">
      <alignment horizontal="left" vertical="center" wrapText="1"/>
      <protection hidden="1"/>
    </xf>
    <xf numFmtId="0" fontId="4" fillId="2" borderId="30" xfId="0" applyFont="1" applyFill="1" applyBorder="1" applyAlignment="1" applyProtection="1">
      <alignment horizontal="left" vertical="center" wrapText="1"/>
      <protection hidden="1"/>
    </xf>
    <xf numFmtId="0" fontId="10" fillId="5" borderId="23" xfId="0" applyFont="1" applyFill="1" applyBorder="1" applyAlignment="1" applyProtection="1">
      <alignment horizontal="center" vertical="center" wrapText="1"/>
      <protection locked="0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0" fillId="5" borderId="22" xfId="0" applyFill="1" applyBorder="1" applyAlignment="1" applyProtection="1">
      <alignment vertical="center" wrapText="1"/>
      <protection locked="0"/>
    </xf>
    <xf numFmtId="0" fontId="0" fillId="0" borderId="30" xfId="0" applyBorder="1" applyAlignment="1" applyProtection="1">
      <alignment vertical="center" wrapText="1"/>
      <protection hidden="1"/>
    </xf>
    <xf numFmtId="0" fontId="10" fillId="3" borderId="30" xfId="0" applyFont="1" applyFill="1" applyBorder="1" applyAlignment="1" applyProtection="1">
      <alignment horizontal="center" vertical="center" wrapText="1"/>
      <protection hidden="1"/>
    </xf>
    <xf numFmtId="0" fontId="0" fillId="3" borderId="30" xfId="0" applyFill="1" applyBorder="1" applyAlignment="1" applyProtection="1">
      <alignment horizontal="center" vertical="center" wrapText="1"/>
      <protection hidden="1"/>
    </xf>
    <xf numFmtId="0" fontId="0" fillId="3" borderId="6" xfId="0" applyFill="1" applyBorder="1" applyAlignment="1" applyProtection="1">
      <alignment horizontal="center" vertical="center" wrapText="1"/>
      <protection hidden="1"/>
    </xf>
    <xf numFmtId="0" fontId="4" fillId="4" borderId="16" xfId="0" applyFont="1" applyFill="1" applyBorder="1" applyAlignment="1" applyProtection="1">
      <alignment horizontal="center" vertical="center"/>
      <protection hidden="1"/>
    </xf>
    <xf numFmtId="0" fontId="4" fillId="4" borderId="35" xfId="0" applyFont="1" applyFill="1" applyBorder="1" applyAlignment="1" applyProtection="1">
      <alignment horizontal="center" vertical="center"/>
      <protection hidden="1"/>
    </xf>
    <xf numFmtId="0" fontId="4" fillId="4" borderId="17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left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10" fillId="0" borderId="1" xfId="0" applyFont="1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0" borderId="10" xfId="0" applyFill="1" applyBorder="1" applyAlignment="1" applyProtection="1">
      <alignment horizontal="center" vertical="center"/>
      <protection hidden="1"/>
    </xf>
    <xf numFmtId="0" fontId="4" fillId="2" borderId="31" xfId="0" applyFont="1" applyFill="1" applyBorder="1" applyAlignment="1" applyProtection="1">
      <alignment horizontal="left" vertical="center" wrapText="1"/>
      <protection hidden="1"/>
    </xf>
    <xf numFmtId="0" fontId="4" fillId="2" borderId="33" xfId="0" applyFont="1" applyFill="1" applyBorder="1" applyAlignment="1" applyProtection="1">
      <alignment horizontal="left" vertical="center" wrapText="1"/>
      <protection hidden="1"/>
    </xf>
    <xf numFmtId="0" fontId="0" fillId="0" borderId="28" xfId="0" applyBorder="1" applyAlignment="1" applyProtection="1">
      <alignment horizontal="left" vertical="center" wrapText="1"/>
      <protection hidden="1"/>
    </xf>
    <xf numFmtId="14" fontId="10" fillId="0" borderId="27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33" xfId="0" applyBorder="1" applyAlignment="1" applyProtection="1">
      <alignment horizontal="center" vertical="center" wrapText="1"/>
      <protection hidden="1"/>
    </xf>
    <xf numFmtId="0" fontId="0" fillId="0" borderId="28" xfId="0" applyBorder="1" applyAlignment="1" applyProtection="1">
      <alignment vertical="center"/>
      <protection hidden="1"/>
    </xf>
    <xf numFmtId="0" fontId="4" fillId="2" borderId="26" xfId="0" applyFont="1" applyFill="1" applyBorder="1" applyAlignment="1" applyProtection="1">
      <alignment horizontal="left" vertical="center"/>
      <protection hidden="1"/>
    </xf>
    <xf numFmtId="0" fontId="0" fillId="0" borderId="26" xfId="0" applyBorder="1" applyAlignment="1" applyProtection="1">
      <alignment vertical="center"/>
      <protection hidden="1"/>
    </xf>
    <xf numFmtId="14" fontId="12" fillId="0" borderId="27" xfId="0" applyNumberFormat="1" applyFont="1" applyBorder="1" applyAlignment="1" applyProtection="1">
      <alignment horizontal="center" vertical="center"/>
      <protection hidden="1"/>
    </xf>
    <xf numFmtId="0" fontId="12" fillId="0" borderId="33" xfId="0" applyFont="1" applyBorder="1" applyAlignment="1" applyProtection="1">
      <alignment horizontal="center" vertical="center"/>
      <protection hidden="1"/>
    </xf>
    <xf numFmtId="0" fontId="12" fillId="0" borderId="29" xfId="0" applyFont="1" applyBorder="1" applyAlignment="1" applyProtection="1">
      <alignment horizontal="center" vertical="center"/>
      <protection hidden="1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10" fillId="3" borderId="47" xfId="0" applyFont="1" applyFill="1" applyBorder="1" applyAlignment="1" applyProtection="1">
      <alignment horizontal="center" vertical="center" wrapText="1"/>
      <protection hidden="1"/>
    </xf>
    <xf numFmtId="0" fontId="0" fillId="0" borderId="48" xfId="0" applyBorder="1" applyAlignment="1" applyProtection="1">
      <alignment horizontal="center" vertical="center" wrapText="1"/>
      <protection hidden="1"/>
    </xf>
    <xf numFmtId="0" fontId="10" fillId="5" borderId="27" xfId="0" applyFont="1" applyFill="1" applyBorder="1" applyAlignment="1" applyProtection="1">
      <alignment horizontal="center" vertical="center"/>
      <protection locked="0"/>
    </xf>
    <xf numFmtId="0" fontId="0" fillId="5" borderId="28" xfId="0" applyFill="1" applyBorder="1" applyAlignment="1" applyProtection="1">
      <alignment horizontal="center" vertical="center"/>
      <protection locked="0"/>
    </xf>
    <xf numFmtId="0" fontId="10" fillId="3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alignment horizontal="center" vertical="center"/>
      <protection hidden="1"/>
    </xf>
    <xf numFmtId="0" fontId="0" fillId="0" borderId="49" xfId="0" applyBorder="1" applyAlignment="1" applyProtection="1">
      <alignment horizontal="center" vertical="center" wrapText="1"/>
      <protection hidden="1"/>
    </xf>
    <xf numFmtId="0" fontId="4" fillId="2" borderId="7" xfId="0" applyFont="1" applyFill="1" applyBorder="1" applyAlignment="1" applyProtection="1">
      <alignment horizontal="left" vertical="center" wrapText="1"/>
      <protection hidden="1"/>
    </xf>
    <xf numFmtId="0" fontId="4" fillId="2" borderId="3" xfId="0" applyFont="1" applyFill="1" applyBorder="1" applyAlignment="1" applyProtection="1">
      <alignment horizontal="left" vertical="center" wrapText="1"/>
      <protection hidden="1"/>
    </xf>
    <xf numFmtId="0" fontId="0" fillId="0" borderId="4" xfId="0" applyBorder="1" applyAlignment="1" applyProtection="1">
      <alignment horizontal="left" vertical="center" wrapText="1"/>
      <protection hidden="1"/>
    </xf>
    <xf numFmtId="0" fontId="4" fillId="3" borderId="20" xfId="0" applyFont="1" applyFill="1" applyBorder="1" applyAlignment="1" applyProtection="1">
      <alignment horizontal="left" vertical="center" wrapText="1"/>
      <protection hidden="1"/>
    </xf>
    <xf numFmtId="0" fontId="4" fillId="3" borderId="0" xfId="0" applyFont="1" applyFill="1" applyBorder="1" applyAlignment="1" applyProtection="1">
      <alignment horizontal="left" vertical="center" wrapText="1"/>
      <protection hidden="1"/>
    </xf>
    <xf numFmtId="0" fontId="0" fillId="3" borderId="34" xfId="0" applyFill="1" applyBorder="1" applyAlignment="1" applyProtection="1">
      <alignment horizontal="left" vertical="center" wrapText="1"/>
      <protection hidden="1"/>
    </xf>
    <xf numFmtId="0" fontId="4" fillId="2" borderId="21" xfId="0" applyFont="1" applyFill="1" applyBorder="1" applyAlignment="1" applyProtection="1">
      <alignment horizontal="left" vertical="center" wrapText="1"/>
      <protection hidden="1"/>
    </xf>
    <xf numFmtId="0" fontId="4" fillId="2" borderId="32" xfId="0" applyFont="1" applyFill="1" applyBorder="1" applyAlignment="1" applyProtection="1">
      <alignment horizontal="left" vertical="center" wrapText="1"/>
      <protection hidden="1"/>
    </xf>
    <xf numFmtId="0" fontId="0" fillId="0" borderId="32" xfId="0" applyBorder="1" applyAlignment="1" applyProtection="1">
      <alignment horizontal="left" vertical="center" wrapText="1"/>
      <protection hidden="1"/>
    </xf>
    <xf numFmtId="0" fontId="2" fillId="0" borderId="30" xfId="0" applyNumberFormat="1" applyFont="1" applyBorder="1" applyAlignment="1" applyProtection="1">
      <alignment horizontal="center" vertical="center"/>
      <protection hidden="1"/>
    </xf>
    <xf numFmtId="0" fontId="2" fillId="3" borderId="32" xfId="0" applyFont="1" applyFill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horizontal="center" vertical="center"/>
      <protection hidden="1"/>
    </xf>
    <xf numFmtId="0" fontId="2" fillId="3" borderId="23" xfId="0" applyFont="1" applyFill="1" applyBorder="1" applyAlignment="1" applyProtection="1">
      <alignment horizontal="center" vertical="center"/>
      <protection hidden="1"/>
    </xf>
    <xf numFmtId="0" fontId="11" fillId="0" borderId="24" xfId="0" applyFont="1" applyBorder="1" applyAlignment="1" applyProtection="1">
      <alignment horizontal="center" vertical="center"/>
      <protection hidden="1"/>
    </xf>
    <xf numFmtId="0" fontId="4" fillId="2" borderId="25" xfId="0" applyFont="1" applyFill="1" applyBorder="1" applyAlignment="1" applyProtection="1">
      <alignment horizontal="left" vertical="center" wrapText="1"/>
      <protection hidden="1"/>
    </xf>
    <xf numFmtId="0" fontId="4" fillId="2" borderId="28" xfId="0" applyFont="1" applyFill="1" applyBorder="1" applyAlignment="1" applyProtection="1">
      <alignment horizontal="left" vertical="center" wrapText="1"/>
      <protection hidden="1"/>
    </xf>
    <xf numFmtId="0" fontId="4" fillId="2" borderId="26" xfId="0" applyFont="1" applyFill="1" applyBorder="1" applyAlignment="1" applyProtection="1">
      <alignment horizontal="left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vertical="center" wrapText="1"/>
      <protection hidden="1"/>
    </xf>
    <xf numFmtId="0" fontId="2" fillId="2" borderId="3" xfId="0" applyFont="1" applyFill="1" applyBorder="1" applyAlignment="1" applyProtection="1">
      <alignment vertical="center" wrapText="1"/>
      <protection hidden="1"/>
    </xf>
    <xf numFmtId="0" fontId="2" fillId="2" borderId="8" xfId="0" applyFont="1" applyFill="1" applyBorder="1" applyAlignment="1" applyProtection="1">
      <alignment vertical="center" wrapText="1"/>
      <protection hidden="1"/>
    </xf>
    <xf numFmtId="0" fontId="2" fillId="2" borderId="12" xfId="0" applyFont="1" applyFill="1" applyBorder="1" applyAlignment="1" applyProtection="1">
      <alignment vertical="center" wrapText="1"/>
      <protection hidden="1"/>
    </xf>
    <xf numFmtId="0" fontId="2" fillId="2" borderId="37" xfId="0" applyFont="1" applyFill="1" applyBorder="1" applyAlignment="1" applyProtection="1">
      <alignment vertical="center" wrapText="1"/>
      <protection hidden="1"/>
    </xf>
    <xf numFmtId="0" fontId="2" fillId="2" borderId="13" xfId="0" applyFont="1" applyFill="1" applyBorder="1" applyAlignment="1" applyProtection="1">
      <alignment vertical="center" wrapText="1"/>
      <protection hidden="1"/>
    </xf>
    <xf numFmtId="0" fontId="0" fillId="0" borderId="8" xfId="0" applyBorder="1" applyAlignment="1" applyProtection="1">
      <alignment vertical="center" wrapText="1"/>
      <protection hidden="1"/>
    </xf>
    <xf numFmtId="4" fontId="3" fillId="0" borderId="7" xfId="1" applyNumberFormat="1" applyFont="1" applyBorder="1" applyAlignment="1" applyProtection="1">
      <alignment horizontal="center" vertical="center" wrapText="1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 applyProtection="1">
      <alignment horizontal="center" vertical="center"/>
      <protection hidden="1"/>
    </xf>
    <xf numFmtId="4" fontId="2" fillId="0" borderId="0" xfId="0" applyNumberFormat="1" applyFont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 vertical="center" wrapText="1"/>
      <protection hidden="1"/>
    </xf>
    <xf numFmtId="4" fontId="10" fillId="0" borderId="0" xfId="0" applyNumberFormat="1" applyFont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left" vertical="center" wrapText="1"/>
      <protection hidden="1"/>
    </xf>
    <xf numFmtId="4" fontId="3" fillId="0" borderId="50" xfId="1" applyNumberFormat="1" applyFont="1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Alignment="1" applyProtection="1">
      <alignment vertical="center" wrapText="1"/>
      <protection hidden="1"/>
    </xf>
    <xf numFmtId="0" fontId="2" fillId="2" borderId="19" xfId="0" applyFont="1" applyFill="1" applyBorder="1" applyAlignment="1" applyProtection="1">
      <alignment vertical="center" wrapText="1"/>
      <protection hidden="1"/>
    </xf>
    <xf numFmtId="0" fontId="2" fillId="2" borderId="15" xfId="0" applyFont="1" applyFill="1" applyBorder="1" applyAlignment="1" applyProtection="1">
      <alignment vertical="center" wrapText="1"/>
      <protection hidden="1"/>
    </xf>
    <xf numFmtId="4" fontId="4" fillId="0" borderId="7" xfId="1" applyNumberFormat="1" applyFont="1" applyBorder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3" fillId="0" borderId="26" xfId="0" applyFont="1" applyFill="1" applyBorder="1" applyAlignment="1" applyProtection="1">
      <alignment horizontal="center" vertical="center" wrapText="1"/>
      <protection hidden="1"/>
    </xf>
    <xf numFmtId="0" fontId="3" fillId="0" borderId="43" xfId="0" applyFont="1" applyFill="1" applyBorder="1" applyAlignment="1" applyProtection="1">
      <alignment horizontal="center" vertical="center" wrapText="1"/>
      <protection hidden="1"/>
    </xf>
    <xf numFmtId="4" fontId="10" fillId="0" borderId="0" xfId="0" applyNumberFormat="1" applyFont="1" applyBorder="1" applyAlignment="1" applyProtection="1">
      <alignment horizontal="left" vertical="center"/>
      <protection hidden="1"/>
    </xf>
    <xf numFmtId="0" fontId="3" fillId="0" borderId="40" xfId="0" applyFont="1" applyFill="1" applyBorder="1" applyAlignment="1" applyProtection="1">
      <alignment horizontal="center" vertical="center" wrapText="1"/>
      <protection hidden="1"/>
    </xf>
    <xf numFmtId="0" fontId="3" fillId="0" borderId="42" xfId="0" applyFont="1" applyFill="1" applyBorder="1" applyAlignment="1" applyProtection="1">
      <alignment horizontal="center" vertical="center" wrapText="1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10" fillId="0" borderId="38" xfId="0" applyFont="1" applyFill="1" applyBorder="1" applyAlignment="1" applyProtection="1">
      <alignment horizontal="center" vertical="center" wrapText="1"/>
      <protection hidden="1"/>
    </xf>
    <xf numFmtId="0" fontId="0" fillId="0" borderId="36" xfId="0" applyFont="1" applyBorder="1" applyAlignment="1" applyProtection="1">
      <alignment horizontal="center" vertical="center" wrapText="1"/>
      <protection hidden="1"/>
    </xf>
    <xf numFmtId="0" fontId="0" fillId="0" borderId="39" xfId="0" applyFont="1" applyBorder="1" applyAlignment="1" applyProtection="1">
      <alignment horizontal="center" vertical="center" wrapText="1"/>
      <protection hidden="1"/>
    </xf>
    <xf numFmtId="0" fontId="3" fillId="0" borderId="27" xfId="0" applyFont="1" applyFill="1" applyBorder="1" applyAlignment="1" applyProtection="1">
      <alignment horizontal="center" vertical="center" wrapText="1"/>
      <protection hidden="1"/>
    </xf>
    <xf numFmtId="0" fontId="0" fillId="0" borderId="33" xfId="0" applyFont="1" applyBorder="1" applyAlignment="1" applyProtection="1">
      <alignment horizontal="center" vertical="center" wrapText="1"/>
      <protection hidden="1"/>
    </xf>
    <xf numFmtId="0" fontId="0" fillId="0" borderId="28" xfId="0" applyFont="1" applyBorder="1" applyAlignment="1" applyProtection="1">
      <alignment horizontal="center" vertical="center" wrapText="1"/>
      <protection hidden="1"/>
    </xf>
    <xf numFmtId="14" fontId="10" fillId="0" borderId="18" xfId="0" applyNumberFormat="1" applyFont="1" applyFill="1" applyBorder="1" applyAlignment="1" applyProtection="1">
      <alignment horizontal="center" vertical="center" wrapText="1"/>
      <protection hidden="1"/>
    </xf>
    <xf numFmtId="14" fontId="3" fillId="0" borderId="3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9" xfId="0" applyFont="1" applyFill="1" applyBorder="1" applyAlignment="1" applyProtection="1">
      <alignment horizontal="center" vertical="center"/>
      <protection hidden="1"/>
    </xf>
    <xf numFmtId="0" fontId="0" fillId="0" borderId="41" xfId="0" applyBorder="1" applyAlignment="1" applyProtection="1">
      <alignment horizontal="center" vertical="center"/>
      <protection hidden="1"/>
    </xf>
    <xf numFmtId="4" fontId="4" fillId="0" borderId="50" xfId="1" applyNumberFormat="1" applyFont="1" applyBorder="1" applyAlignment="1" applyProtection="1">
      <alignment horizontal="center" vertical="center" wrapText="1"/>
      <protection hidden="1"/>
    </xf>
    <xf numFmtId="0" fontId="11" fillId="0" borderId="49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2" fillId="0" borderId="5" xfId="0" applyNumberFormat="1" applyFont="1" applyBorder="1" applyAlignment="1" applyProtection="1">
      <alignment horizontal="center" vertical="center"/>
      <protection hidden="1"/>
    </xf>
    <xf numFmtId="0" fontId="2" fillId="0" borderId="6" xfId="0" applyNumberFormat="1" applyFont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left" vertical="center" wrapText="1"/>
      <protection hidden="1"/>
    </xf>
    <xf numFmtId="0" fontId="2" fillId="0" borderId="16" xfId="0" applyFont="1" applyFill="1" applyBorder="1" applyAlignment="1" applyProtection="1">
      <alignment horizontal="center" vertical="center" wrapText="1"/>
      <protection hidden="1"/>
    </xf>
    <xf numFmtId="0" fontId="2" fillId="0" borderId="35" xfId="0" applyFont="1" applyFill="1" applyBorder="1" applyAlignment="1" applyProtection="1">
      <alignment horizontal="center" vertical="center" wrapText="1"/>
      <protection hidden="1"/>
    </xf>
    <xf numFmtId="0" fontId="2" fillId="0" borderId="17" xfId="0" applyFont="1" applyFill="1" applyBorder="1" applyAlignment="1" applyProtection="1">
      <alignment horizontal="center" vertical="center" wrapText="1"/>
      <protection hidden="1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A1:AQ77"/>
  <sheetViews>
    <sheetView showGridLines="0" tabSelected="1" showRuler="0" topLeftCell="C1" zoomScale="85" zoomScaleNormal="85" workbookViewId="0">
      <selection activeCell="E7" sqref="E7:H7"/>
    </sheetView>
  </sheetViews>
  <sheetFormatPr defaultRowHeight="14.5" x14ac:dyDescent="0.35"/>
  <cols>
    <col min="1" max="1" width="8.453125" style="7" customWidth="1"/>
    <col min="2" max="2" width="6.7265625" style="7" customWidth="1"/>
    <col min="3" max="3" width="8.1796875" style="7" customWidth="1"/>
    <col min="4" max="4" width="26.54296875" style="7" customWidth="1"/>
    <col min="5" max="5" width="8.7265625" style="7"/>
    <col min="6" max="6" width="8.81640625" style="7" customWidth="1"/>
    <col min="7" max="7" width="9.1796875" style="7" customWidth="1"/>
    <col min="8" max="8" width="8.7265625" style="7" customWidth="1"/>
    <col min="9" max="9" width="8.7265625" style="7"/>
    <col min="10" max="10" width="8.54296875" style="7" customWidth="1"/>
    <col min="11" max="11" width="8.7265625" style="7"/>
    <col min="12" max="12" width="9.54296875" style="7" customWidth="1"/>
    <col min="13" max="13" width="8.7265625" style="7"/>
    <col min="14" max="14" width="8.54296875" style="7" customWidth="1"/>
    <col min="15" max="15" width="8.7265625" style="7"/>
    <col min="16" max="16" width="8.7265625" style="7" customWidth="1"/>
    <col min="17" max="17" width="8.7265625" style="7"/>
    <col min="18" max="18" width="37.54296875" style="7" customWidth="1"/>
    <col min="19" max="19" width="8.7265625" style="7"/>
    <col min="20" max="43" width="8.7265625" style="8"/>
    <col min="44" max="16384" width="8.7265625" style="7"/>
  </cols>
  <sheetData>
    <row r="1" spans="1:43" ht="15" customHeight="1" x14ac:dyDescent="0.3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37"/>
      <c r="R1" s="37"/>
      <c r="S1" s="37"/>
      <c r="T1" s="52"/>
      <c r="U1" s="52"/>
      <c r="V1" s="52"/>
      <c r="W1" s="52"/>
      <c r="X1" s="52"/>
      <c r="Y1" s="52"/>
      <c r="AQ1" s="7" t="s">
        <v>55</v>
      </c>
    </row>
    <row r="2" spans="1:43" ht="15" thickBot="1" x14ac:dyDescent="0.4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37"/>
      <c r="R2" s="37"/>
      <c r="S2" s="37"/>
      <c r="T2" s="52"/>
      <c r="U2" s="52"/>
      <c r="V2" s="52"/>
      <c r="W2" s="52"/>
      <c r="X2" s="52"/>
      <c r="Y2" s="52"/>
      <c r="AQ2" s="7" t="s">
        <v>57</v>
      </c>
    </row>
    <row r="3" spans="1:43" ht="16.5" customHeight="1" x14ac:dyDescent="0.35">
      <c r="A3" s="83" t="s">
        <v>2</v>
      </c>
      <c r="B3" s="84"/>
      <c r="C3" s="84"/>
      <c r="D3" s="85"/>
      <c r="E3" s="86"/>
      <c r="F3" s="86"/>
      <c r="G3" s="86"/>
      <c r="H3" s="87"/>
      <c r="I3" s="88" t="s">
        <v>17</v>
      </c>
      <c r="J3" s="86"/>
      <c r="K3" s="86"/>
      <c r="L3" s="87"/>
      <c r="M3" s="89" t="s">
        <v>1</v>
      </c>
      <c r="N3" s="89"/>
      <c r="O3" s="90"/>
      <c r="P3" s="91"/>
      <c r="Q3" s="37"/>
      <c r="R3" s="37"/>
      <c r="S3" s="37"/>
      <c r="T3" s="52"/>
      <c r="U3" s="52"/>
      <c r="V3" s="52"/>
      <c r="W3" s="52"/>
      <c r="X3" s="52"/>
      <c r="Y3" s="52"/>
      <c r="AQ3" s="7" t="s">
        <v>58</v>
      </c>
    </row>
    <row r="4" spans="1:43" ht="15" customHeight="1" thickBot="1" x14ac:dyDescent="0.4">
      <c r="A4" s="92" t="s">
        <v>45</v>
      </c>
      <c r="B4" s="93"/>
      <c r="C4" s="93"/>
      <c r="D4" s="94"/>
      <c r="E4" s="94"/>
      <c r="F4" s="94"/>
      <c r="G4" s="94"/>
      <c r="H4" s="95"/>
      <c r="I4" s="96" t="s">
        <v>46</v>
      </c>
      <c r="J4" s="97"/>
      <c r="K4" s="97"/>
      <c r="L4" s="98"/>
      <c r="M4" s="96" t="s">
        <v>47</v>
      </c>
      <c r="N4" s="97"/>
      <c r="O4" s="97"/>
      <c r="P4" s="99"/>
      <c r="Q4" s="37"/>
      <c r="R4" s="37"/>
      <c r="S4" s="37"/>
      <c r="T4" s="52"/>
      <c r="U4" s="52"/>
      <c r="V4" s="52"/>
      <c r="W4" s="52"/>
      <c r="X4" s="52"/>
      <c r="Y4" s="52"/>
      <c r="AQ4" s="7" t="s">
        <v>56</v>
      </c>
    </row>
    <row r="5" spans="1:43" ht="15" thickBot="1" x14ac:dyDescent="0.4">
      <c r="A5" s="51"/>
      <c r="B5" s="51"/>
      <c r="C5" s="51"/>
      <c r="D5" s="51"/>
      <c r="E5" s="51"/>
      <c r="F5" s="51"/>
      <c r="G5" s="51"/>
      <c r="H5" s="51"/>
      <c r="I5" s="100"/>
      <c r="J5" s="101"/>
      <c r="K5" s="101"/>
      <c r="L5" s="101"/>
      <c r="M5" s="51"/>
      <c r="N5" s="51"/>
      <c r="O5" s="51"/>
      <c r="P5" s="51"/>
      <c r="Q5" s="37"/>
      <c r="R5" s="37"/>
      <c r="S5" s="37"/>
      <c r="T5" s="52"/>
      <c r="U5" s="52"/>
      <c r="V5" s="52"/>
      <c r="W5" s="52"/>
      <c r="X5" s="52"/>
      <c r="Y5" s="52"/>
      <c r="AQ5" s="7" t="s">
        <v>59</v>
      </c>
    </row>
    <row r="6" spans="1:43" ht="26.25" customHeight="1" x14ac:dyDescent="0.35">
      <c r="A6" s="102" t="s">
        <v>3</v>
      </c>
      <c r="B6" s="103"/>
      <c r="C6" s="103"/>
      <c r="D6" s="104"/>
      <c r="E6" s="105"/>
      <c r="F6" s="106"/>
      <c r="G6" s="106"/>
      <c r="H6" s="107"/>
      <c r="I6" s="104" t="s">
        <v>4</v>
      </c>
      <c r="J6" s="108"/>
      <c r="K6" s="108"/>
      <c r="L6" s="108"/>
      <c r="M6" s="109" t="s">
        <v>54</v>
      </c>
      <c r="N6" s="110"/>
      <c r="O6" s="110"/>
      <c r="P6" s="111"/>
      <c r="Q6" s="37"/>
      <c r="R6" s="37"/>
      <c r="S6" s="37"/>
      <c r="T6" s="52"/>
      <c r="U6" s="52"/>
      <c r="V6" s="52"/>
      <c r="W6" s="52"/>
      <c r="X6" s="52"/>
      <c r="Y6" s="52"/>
      <c r="AQ6" s="7" t="s">
        <v>60</v>
      </c>
    </row>
    <row r="7" spans="1:43" x14ac:dyDescent="0.35">
      <c r="A7" s="115" t="s">
        <v>5</v>
      </c>
      <c r="B7" s="116"/>
      <c r="C7" s="116"/>
      <c r="D7" s="117"/>
      <c r="E7" s="118" t="s">
        <v>55</v>
      </c>
      <c r="F7" s="119"/>
      <c r="G7" s="119"/>
      <c r="H7" s="120"/>
      <c r="I7" s="121" t="s">
        <v>6</v>
      </c>
      <c r="J7" s="122"/>
      <c r="K7" s="122"/>
      <c r="L7" s="122"/>
      <c r="M7" s="123" t="str">
        <f>CONCATENATE(IF(E7="Excelentní vědecký pracovník ČVUT","1.1.1.1.1.1.01",""),IF(E7="Klíčový vědecký pracovník ČVUT","1.1.1.1.1.1.02",""),IF(E7="Vědecký pracovník ČVUT","1.1.1.1.1.1.03",""),IF(E7="Mladý vědecký pracovník ČVUT","1.1.1.1.1.1.04",""),IF(E7="Technik ČVUT","1.1.1.1.1.1.05",""),IF(E7="Doktorand ČVUT","1.1.1.1.1.1.06",""))</f>
        <v>1.1.1.1.1.1.01</v>
      </c>
      <c r="N7" s="124"/>
      <c r="O7" s="124"/>
      <c r="P7" s="125"/>
      <c r="Q7" s="37"/>
      <c r="R7" s="37"/>
      <c r="S7" s="37"/>
      <c r="T7" s="52"/>
      <c r="U7" s="52"/>
      <c r="V7" s="52"/>
      <c r="W7" s="52"/>
      <c r="X7" s="52"/>
      <c r="Y7" s="52"/>
    </row>
    <row r="8" spans="1:43" ht="16.5" customHeight="1" thickBot="1" x14ac:dyDescent="0.4">
      <c r="A8" s="126" t="s">
        <v>23</v>
      </c>
      <c r="B8" s="127"/>
      <c r="C8" s="127"/>
      <c r="D8" s="128"/>
      <c r="E8" s="129">
        <v>43497</v>
      </c>
      <c r="F8" s="130"/>
      <c r="G8" s="130"/>
      <c r="H8" s="131"/>
      <c r="I8" s="132" t="s">
        <v>22</v>
      </c>
      <c r="J8" s="133"/>
      <c r="K8" s="133"/>
      <c r="L8" s="133"/>
      <c r="M8" s="134">
        <v>43555</v>
      </c>
      <c r="N8" s="135"/>
      <c r="O8" s="135"/>
      <c r="P8" s="136"/>
      <c r="Q8" s="37"/>
      <c r="R8" s="37"/>
      <c r="S8" s="37"/>
      <c r="T8" s="52"/>
      <c r="U8" s="52"/>
      <c r="V8" s="52"/>
      <c r="W8" s="52"/>
      <c r="X8" s="52"/>
      <c r="Y8" s="52"/>
    </row>
    <row r="9" spans="1:43" ht="15" thickBot="1" x14ac:dyDescent="0.4">
      <c r="A9" s="148"/>
      <c r="B9" s="149"/>
      <c r="C9" s="149"/>
      <c r="D9" s="150"/>
      <c r="E9" s="43"/>
      <c r="F9" s="44"/>
      <c r="G9" s="44"/>
      <c r="H9" s="45"/>
      <c r="I9" s="53"/>
      <c r="J9" s="45"/>
      <c r="K9" s="45"/>
      <c r="L9" s="44"/>
      <c r="M9" s="44"/>
      <c r="N9" s="44"/>
      <c r="O9" s="44"/>
      <c r="P9" s="44"/>
      <c r="Q9" s="37"/>
      <c r="R9" s="37"/>
      <c r="S9" s="37"/>
      <c r="T9" s="52"/>
      <c r="U9" s="52"/>
      <c r="V9" s="52"/>
      <c r="W9" s="52"/>
      <c r="X9" s="52"/>
      <c r="Y9" s="52"/>
    </row>
    <row r="10" spans="1:43" x14ac:dyDescent="0.35">
      <c r="A10" s="151" t="s">
        <v>24</v>
      </c>
      <c r="B10" s="152"/>
      <c r="C10" s="152"/>
      <c r="D10" s="153"/>
      <c r="E10" s="154" t="s">
        <v>48</v>
      </c>
      <c r="F10" s="154" t="e">
        <f>#VALUE!</f>
        <v>#VALUE!</v>
      </c>
      <c r="G10" s="154" t="str">
        <f>IF(E10="leden","únor",IF(E10="únor","březen",IF(E10="březen","duben",IF(E10="duben","květen",IF(E10="květen","červen",IF(E10="červen","červenec",IF(E10="červenec","srpen",IF(E10="srpen","září",IF(E10="září","říjen",IF(E10="říjen","listopad",IF(E10="listopad","prosinec","leden" )))))))))))</f>
        <v>březen</v>
      </c>
      <c r="H10" s="154"/>
      <c r="I10" s="155" t="str">
        <f>IF(G10="leden","únor",IF(G10="únor","březen",IF(G10="březen","duben",IF(G10="duben","květen",IF(G10="květen","červen",IF(G10="červen","červenec",IF(G10="červenec","srpen",IF(G10="srpen","září",IF(G10="září","říjen",IF(G10="říjen","listopad",IF(G10="listopad","prosinec","leden" )))))))))))</f>
        <v>duben</v>
      </c>
      <c r="J10" s="156"/>
      <c r="K10" s="157" t="str">
        <f>IF(I10="leden","únor",IF(I10="únor","březen",IF(I10="březen","duben",IF(I10="duben","květen",IF(I10="květen","červen",IF(I10="červen","červenec",IF(I10="červenec","srpen",IF(I10="srpen","září",IF(I10="září","říjen",IF(I10="říjen","listopad",IF(I10="listopad","prosinec","leden" )))))))))))</f>
        <v>květen</v>
      </c>
      <c r="L10" s="156"/>
      <c r="M10" s="157" t="str">
        <f>IF(K10="leden","únor",IF(K10="únor","březen",IF(K10="březen","duben",IF(K10="duben","květen",IF(K10="květen","červen",IF(K10="červen","červenec",IF(K10="červenec","srpen",IF(K10="srpen","září",IF(K10="září","říjen",IF(K10="říjen","listopad",IF(K10="listopad","prosinec","leden" )))))))))))</f>
        <v>červen</v>
      </c>
      <c r="N10" s="156"/>
      <c r="O10" s="157" t="str">
        <f>IF(M10="leden","únor",IF(M10="únor","březen",IF(M10="březen","duben",IF(M10="duben","květen",IF(M10="květen","červen",IF(M10="červen","červenec",IF(M10="červenec","srpen",IF(M10="srpen","září",IF(M10="září","říjen",IF(M10="říjen","listopad",IF(M10="listopad","prosinec","leden" )))))))))))</f>
        <v>červenec</v>
      </c>
      <c r="P10" s="158"/>
      <c r="Q10" s="50"/>
      <c r="R10" s="50"/>
      <c r="S10" s="50"/>
      <c r="T10" s="52"/>
      <c r="U10" s="52"/>
      <c r="V10" s="52"/>
      <c r="W10" s="52"/>
      <c r="X10" s="52"/>
      <c r="Y10" s="52"/>
    </row>
    <row r="11" spans="1:43" ht="17.25" customHeight="1" x14ac:dyDescent="0.35">
      <c r="A11" s="115" t="s">
        <v>21</v>
      </c>
      <c r="B11" s="116"/>
      <c r="C11" s="116"/>
      <c r="D11" s="117"/>
      <c r="E11" s="162"/>
      <c r="F11" s="163"/>
      <c r="G11" s="162"/>
      <c r="H11" s="163"/>
      <c r="I11" s="142"/>
      <c r="J11" s="143"/>
      <c r="K11" s="142"/>
      <c r="L11" s="143"/>
      <c r="M11" s="142"/>
      <c r="N11" s="143"/>
      <c r="O11" s="142"/>
      <c r="P11" s="164"/>
      <c r="Q11" s="37"/>
      <c r="R11" s="37"/>
      <c r="S11" s="37"/>
      <c r="T11" s="52"/>
      <c r="U11" s="52"/>
      <c r="V11" s="52"/>
      <c r="W11" s="52"/>
      <c r="X11" s="52"/>
      <c r="Y11" s="52"/>
    </row>
    <row r="12" spans="1:43" ht="30" customHeight="1" x14ac:dyDescent="0.35">
      <c r="A12" s="145" t="s">
        <v>20</v>
      </c>
      <c r="B12" s="146"/>
      <c r="C12" s="146"/>
      <c r="D12" s="147"/>
      <c r="E12" s="118"/>
      <c r="F12" s="137"/>
      <c r="G12" s="118"/>
      <c r="H12" s="137"/>
      <c r="I12" s="138"/>
      <c r="J12" s="139"/>
      <c r="K12" s="138"/>
      <c r="L12" s="139"/>
      <c r="M12" s="138"/>
      <c r="N12" s="139"/>
      <c r="O12" s="138"/>
      <c r="P12" s="144"/>
      <c r="Q12" s="37"/>
      <c r="R12" s="37"/>
      <c r="S12" s="37"/>
      <c r="T12" s="52"/>
      <c r="U12" s="52"/>
      <c r="V12" s="52"/>
      <c r="W12" s="52"/>
      <c r="X12" s="52"/>
      <c r="Y12" s="52"/>
    </row>
    <row r="13" spans="1:43" ht="29.25" customHeight="1" thickBot="1" x14ac:dyDescent="0.4">
      <c r="A13" s="159" t="s">
        <v>7</v>
      </c>
      <c r="B13" s="160"/>
      <c r="C13" s="160"/>
      <c r="D13" s="161"/>
      <c r="E13" s="140"/>
      <c r="F13" s="141"/>
      <c r="G13" s="140"/>
      <c r="H13" s="141"/>
      <c r="I13" s="142"/>
      <c r="J13" s="143"/>
      <c r="K13" s="142"/>
      <c r="L13" s="143"/>
      <c r="M13" s="142"/>
      <c r="N13" s="143"/>
      <c r="O13" s="142"/>
      <c r="P13" s="164"/>
      <c r="Q13" s="37"/>
      <c r="R13" s="37"/>
      <c r="S13" s="37"/>
      <c r="T13" s="52"/>
      <c r="U13" s="52"/>
      <c r="V13" s="52"/>
      <c r="W13" s="52"/>
      <c r="X13" s="52"/>
      <c r="Y13" s="52"/>
    </row>
    <row r="14" spans="1:43" ht="15" thickBot="1" x14ac:dyDescent="0.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2"/>
      <c r="L14" s="28"/>
      <c r="M14" s="25"/>
      <c r="N14" s="25"/>
      <c r="O14" s="25"/>
      <c r="P14" s="25"/>
      <c r="Q14" s="37"/>
      <c r="R14" s="37"/>
      <c r="S14" s="37"/>
      <c r="T14" s="52"/>
      <c r="U14" s="52"/>
      <c r="V14" s="52"/>
      <c r="W14" s="52"/>
      <c r="X14" s="52"/>
      <c r="Y14" s="52"/>
    </row>
    <row r="15" spans="1:43" ht="17.25" customHeight="1" thickBot="1" x14ac:dyDescent="0.4">
      <c r="A15" s="112" t="s">
        <v>36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4"/>
      <c r="Q15" s="37"/>
      <c r="R15" s="37"/>
      <c r="S15" s="37"/>
      <c r="T15" s="52"/>
      <c r="U15" s="52"/>
      <c r="V15" s="52"/>
      <c r="W15" s="52"/>
      <c r="X15" s="52"/>
      <c r="Y15" s="52"/>
    </row>
    <row r="16" spans="1:43" ht="26" x14ac:dyDescent="0.4">
      <c r="A16" s="38" t="s">
        <v>33</v>
      </c>
      <c r="B16" s="39" t="s">
        <v>32</v>
      </c>
      <c r="C16" s="39" t="s">
        <v>31</v>
      </c>
      <c r="D16" s="39" t="s">
        <v>8</v>
      </c>
      <c r="E16" s="60" t="s">
        <v>34</v>
      </c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40" t="s">
        <v>9</v>
      </c>
      <c r="Q16" s="37"/>
      <c r="R16" s="46" t="s">
        <v>52</v>
      </c>
      <c r="S16" s="47"/>
      <c r="T16" s="52"/>
      <c r="U16" s="52"/>
      <c r="V16" s="52"/>
      <c r="W16" s="52"/>
      <c r="X16" s="52"/>
      <c r="Y16" s="52"/>
    </row>
    <row r="17" spans="1:25" x14ac:dyDescent="0.35">
      <c r="A17" s="72" t="s">
        <v>48</v>
      </c>
      <c r="B17" s="17" t="s">
        <v>10</v>
      </c>
      <c r="C17" s="9"/>
      <c r="D17" s="3"/>
      <c r="E17" s="63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5">
        <f>E57</f>
        <v>0</v>
      </c>
      <c r="Q17" s="37"/>
      <c r="R17" s="48" t="s">
        <v>49</v>
      </c>
      <c r="S17" s="10"/>
      <c r="T17" s="52"/>
      <c r="U17" s="52"/>
      <c r="V17" s="52"/>
      <c r="W17" s="52"/>
      <c r="X17" s="52"/>
      <c r="Y17" s="52"/>
    </row>
    <row r="18" spans="1:25" x14ac:dyDescent="0.35">
      <c r="A18" s="73"/>
      <c r="B18" s="17" t="s">
        <v>11</v>
      </c>
      <c r="C18" s="11"/>
      <c r="D18" s="1"/>
      <c r="E18" s="66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2"/>
      <c r="Q18" s="37"/>
      <c r="R18" s="49" t="s">
        <v>50</v>
      </c>
      <c r="S18" s="10"/>
      <c r="T18" s="52"/>
      <c r="U18" s="52"/>
      <c r="V18" s="52"/>
      <c r="W18" s="52"/>
      <c r="X18" s="52"/>
      <c r="Y18" s="52"/>
    </row>
    <row r="19" spans="1:25" x14ac:dyDescent="0.35">
      <c r="A19" s="73"/>
      <c r="B19" s="17" t="s">
        <v>12</v>
      </c>
      <c r="C19" s="11"/>
      <c r="D19" s="1"/>
      <c r="E19" s="66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"/>
      <c r="Q19" s="37"/>
      <c r="R19" s="49" t="s">
        <v>51</v>
      </c>
      <c r="S19" s="10"/>
      <c r="T19" s="52"/>
      <c r="U19" s="52"/>
      <c r="V19" s="52"/>
      <c r="W19" s="52"/>
      <c r="X19" s="52"/>
      <c r="Y19" s="52"/>
    </row>
    <row r="20" spans="1:25" x14ac:dyDescent="0.35">
      <c r="A20" s="73"/>
      <c r="B20" s="17" t="s">
        <v>13</v>
      </c>
      <c r="C20" s="11"/>
      <c r="D20" s="1"/>
      <c r="E20" s="79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2"/>
      <c r="Q20" s="37"/>
      <c r="R20" s="37"/>
      <c r="S20" s="37"/>
      <c r="T20" s="52"/>
      <c r="U20" s="52"/>
      <c r="V20" s="52"/>
      <c r="W20" s="52"/>
      <c r="X20" s="52"/>
      <c r="Y20" s="52"/>
    </row>
    <row r="21" spans="1:25" x14ac:dyDescent="0.35">
      <c r="A21" s="73"/>
      <c r="B21" s="17" t="s">
        <v>14</v>
      </c>
      <c r="C21" s="11"/>
      <c r="D21" s="1"/>
      <c r="E21" s="79"/>
      <c r="F21" s="80"/>
      <c r="G21" s="80"/>
      <c r="H21" s="80"/>
      <c r="I21" s="80"/>
      <c r="J21" s="80"/>
      <c r="K21" s="80"/>
      <c r="L21" s="80"/>
      <c r="M21" s="80"/>
      <c r="N21" s="80"/>
      <c r="O21" s="81"/>
      <c r="P21" s="2"/>
      <c r="Q21" s="37"/>
      <c r="R21" s="37"/>
      <c r="S21" s="37"/>
      <c r="T21" s="52"/>
      <c r="U21" s="52"/>
      <c r="V21" s="52"/>
      <c r="W21" s="52"/>
      <c r="X21" s="52"/>
      <c r="Y21" s="52"/>
    </row>
    <row r="22" spans="1:25" ht="25.5" customHeight="1" thickBot="1" x14ac:dyDescent="0.45">
      <c r="A22" s="74"/>
      <c r="B22" s="76" t="s">
        <v>35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8"/>
      <c r="P22" s="21">
        <f>SUM(P17:P21)</f>
        <v>0</v>
      </c>
      <c r="Q22" s="37"/>
      <c r="R22" s="46" t="s">
        <v>53</v>
      </c>
      <c r="S22" s="37"/>
      <c r="T22" s="52"/>
      <c r="U22" s="52"/>
      <c r="V22" s="52"/>
      <c r="W22" s="52"/>
      <c r="X22" s="52"/>
      <c r="Y22" s="52"/>
    </row>
    <row r="23" spans="1:25" x14ac:dyDescent="0.35">
      <c r="A23" s="75" t="str">
        <f>IF(A17="leden","únor",IF(A17="únor","březen",IF(A17="březen","duben",IF(A17="duben","květen",IF(A17="květen","červen",IF(A17="červen","červenec",IF(A17="červenec","srpen",IF(A17="srpen","září",IF(A17="září","říjen",IF(A17="říjen","listopad",IF(A17="listopad","prosinec","leden")))))))))))</f>
        <v>březen</v>
      </c>
      <c r="B23" s="13" t="s">
        <v>10</v>
      </c>
      <c r="C23" s="12"/>
      <c r="D23" s="4"/>
      <c r="E23" s="69"/>
      <c r="F23" s="70"/>
      <c r="G23" s="70"/>
      <c r="H23" s="70"/>
      <c r="I23" s="70"/>
      <c r="J23" s="70"/>
      <c r="K23" s="70"/>
      <c r="L23" s="70"/>
      <c r="M23" s="70"/>
      <c r="N23" s="70"/>
      <c r="O23" s="71"/>
      <c r="P23" s="6">
        <f>G57</f>
        <v>0</v>
      </c>
      <c r="Q23" s="37"/>
      <c r="R23" s="48" t="s">
        <v>49</v>
      </c>
      <c r="S23" s="10"/>
      <c r="T23" s="52"/>
      <c r="U23" s="52"/>
      <c r="V23" s="52"/>
      <c r="W23" s="52"/>
      <c r="X23" s="52"/>
      <c r="Y23" s="52"/>
    </row>
    <row r="24" spans="1:25" x14ac:dyDescent="0.35">
      <c r="A24" s="73"/>
      <c r="B24" s="17" t="s">
        <v>11</v>
      </c>
      <c r="C24" s="11"/>
      <c r="D24" s="1"/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8"/>
      <c r="P24" s="2"/>
      <c r="Q24" s="37"/>
      <c r="R24" s="49" t="s">
        <v>50</v>
      </c>
      <c r="S24" s="10"/>
      <c r="T24" s="52"/>
      <c r="U24" s="52"/>
      <c r="V24" s="52"/>
      <c r="W24" s="52"/>
      <c r="X24" s="52"/>
      <c r="Y24" s="52"/>
    </row>
    <row r="25" spans="1:25" x14ac:dyDescent="0.35">
      <c r="A25" s="73"/>
      <c r="B25" s="17" t="s">
        <v>12</v>
      </c>
      <c r="C25" s="11"/>
      <c r="D25" s="1"/>
      <c r="E25" s="79"/>
      <c r="F25" s="80"/>
      <c r="G25" s="80"/>
      <c r="H25" s="80"/>
      <c r="I25" s="80"/>
      <c r="J25" s="80"/>
      <c r="K25" s="80"/>
      <c r="L25" s="80"/>
      <c r="M25" s="80"/>
      <c r="N25" s="80"/>
      <c r="O25" s="81"/>
      <c r="P25" s="2"/>
      <c r="Q25" s="37"/>
      <c r="R25" s="49" t="s">
        <v>51</v>
      </c>
      <c r="S25" s="10"/>
      <c r="T25" s="52"/>
      <c r="U25" s="52"/>
      <c r="V25" s="52"/>
      <c r="W25" s="52"/>
      <c r="X25" s="52"/>
      <c r="Y25" s="52"/>
    </row>
    <row r="26" spans="1:25" x14ac:dyDescent="0.35">
      <c r="A26" s="73"/>
      <c r="B26" s="17" t="s">
        <v>13</v>
      </c>
      <c r="C26" s="11"/>
      <c r="D26" s="1"/>
      <c r="E26" s="79"/>
      <c r="F26" s="80"/>
      <c r="G26" s="80"/>
      <c r="H26" s="80"/>
      <c r="I26" s="80"/>
      <c r="J26" s="80"/>
      <c r="K26" s="80"/>
      <c r="L26" s="80"/>
      <c r="M26" s="80"/>
      <c r="N26" s="80"/>
      <c r="O26" s="81"/>
      <c r="P26" s="2"/>
      <c r="Q26" s="37"/>
      <c r="R26" s="37"/>
      <c r="S26" s="37"/>
      <c r="T26" s="52"/>
      <c r="U26" s="52"/>
      <c r="V26" s="52"/>
      <c r="W26" s="52"/>
      <c r="X26" s="52"/>
      <c r="Y26" s="52"/>
    </row>
    <row r="27" spans="1:25" x14ac:dyDescent="0.35">
      <c r="A27" s="73"/>
      <c r="B27" s="17" t="s">
        <v>14</v>
      </c>
      <c r="C27" s="11"/>
      <c r="D27" s="1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2"/>
      <c r="Q27" s="37"/>
      <c r="R27" s="37"/>
      <c r="S27" s="37"/>
      <c r="T27" s="52"/>
      <c r="U27" s="52"/>
      <c r="V27" s="52"/>
      <c r="W27" s="52"/>
      <c r="X27" s="52"/>
      <c r="Y27" s="52"/>
    </row>
    <row r="28" spans="1:25" ht="25.5" customHeight="1" thickBot="1" x14ac:dyDescent="0.4">
      <c r="A28" s="74"/>
      <c r="B28" s="76" t="s">
        <v>35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8"/>
      <c r="P28" s="21">
        <f>SUM(P23:P27)</f>
        <v>0</v>
      </c>
      <c r="Q28" s="37"/>
      <c r="R28" s="37"/>
      <c r="S28" s="37"/>
      <c r="T28" s="52"/>
      <c r="U28" s="52"/>
      <c r="V28" s="52"/>
      <c r="W28" s="52"/>
      <c r="X28" s="52"/>
      <c r="Y28" s="52"/>
    </row>
    <row r="29" spans="1:25" x14ac:dyDescent="0.35">
      <c r="A29" s="75" t="str">
        <f t="shared" ref="A29" si="0">IF(A23="leden","únor",IF(A23="únor","březen",IF(A23="březen","duben",IF(A23="duben","květen",IF(A23="květen","červen",IF(A23="červen","červenec",IF(A23="červenec","srpen",IF(A23="srpen","září",IF(A23="září","říjen",IF(A23="říjen","listopad",IF(A23="listopad","prosinec","leden")))))))))))</f>
        <v>duben</v>
      </c>
      <c r="B29" s="13" t="s">
        <v>10</v>
      </c>
      <c r="C29" s="14"/>
      <c r="D29" s="15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16"/>
      <c r="Q29" s="37"/>
      <c r="R29" s="37"/>
      <c r="S29" s="37"/>
      <c r="T29" s="52"/>
      <c r="U29" s="52"/>
      <c r="V29" s="52"/>
      <c r="W29" s="52"/>
      <c r="X29" s="52"/>
      <c r="Y29" s="52"/>
    </row>
    <row r="30" spans="1:25" x14ac:dyDescent="0.35">
      <c r="A30" s="73"/>
      <c r="B30" s="17" t="s">
        <v>11</v>
      </c>
      <c r="C30" s="18"/>
      <c r="D30" s="19"/>
      <c r="E30" s="57"/>
      <c r="F30" s="58"/>
      <c r="G30" s="58"/>
      <c r="H30" s="58"/>
      <c r="I30" s="58"/>
      <c r="J30" s="58"/>
      <c r="K30" s="58"/>
      <c r="L30" s="58"/>
      <c r="M30" s="58"/>
      <c r="N30" s="58"/>
      <c r="O30" s="59"/>
      <c r="P30" s="20"/>
      <c r="Q30" s="37"/>
      <c r="R30" s="37"/>
      <c r="S30" s="37"/>
      <c r="T30" s="52"/>
      <c r="U30" s="52"/>
      <c r="V30" s="52"/>
      <c r="W30" s="52"/>
      <c r="X30" s="52"/>
      <c r="Y30" s="52"/>
    </row>
    <row r="31" spans="1:25" x14ac:dyDescent="0.35">
      <c r="A31" s="73"/>
      <c r="B31" s="17" t="s">
        <v>12</v>
      </c>
      <c r="C31" s="18"/>
      <c r="D31" s="19"/>
      <c r="E31" s="57"/>
      <c r="F31" s="58"/>
      <c r="G31" s="58"/>
      <c r="H31" s="58"/>
      <c r="I31" s="58"/>
      <c r="J31" s="58"/>
      <c r="K31" s="58"/>
      <c r="L31" s="58"/>
      <c r="M31" s="58"/>
      <c r="N31" s="58"/>
      <c r="O31" s="59"/>
      <c r="P31" s="20"/>
      <c r="Q31" s="37"/>
      <c r="R31" s="37"/>
      <c r="S31" s="37"/>
      <c r="T31" s="52"/>
      <c r="U31" s="52"/>
      <c r="V31" s="52"/>
      <c r="W31" s="52"/>
      <c r="X31" s="52"/>
      <c r="Y31" s="52"/>
    </row>
    <row r="32" spans="1:25" x14ac:dyDescent="0.35">
      <c r="A32" s="73"/>
      <c r="B32" s="17" t="s">
        <v>13</v>
      </c>
      <c r="C32" s="18"/>
      <c r="D32" s="19"/>
      <c r="E32" s="57"/>
      <c r="F32" s="58"/>
      <c r="G32" s="58"/>
      <c r="H32" s="58"/>
      <c r="I32" s="58"/>
      <c r="J32" s="58"/>
      <c r="K32" s="58"/>
      <c r="L32" s="58"/>
      <c r="M32" s="58"/>
      <c r="N32" s="58"/>
      <c r="O32" s="59"/>
      <c r="P32" s="20"/>
      <c r="Q32" s="37"/>
      <c r="R32" s="37"/>
      <c r="S32" s="37"/>
      <c r="T32" s="52"/>
      <c r="U32" s="52"/>
      <c r="V32" s="52"/>
      <c r="W32" s="52"/>
      <c r="X32" s="52"/>
      <c r="Y32" s="52"/>
    </row>
    <row r="33" spans="1:25" x14ac:dyDescent="0.35">
      <c r="A33" s="73"/>
      <c r="B33" s="17" t="s">
        <v>14</v>
      </c>
      <c r="C33" s="18"/>
      <c r="D33" s="19"/>
      <c r="E33" s="57"/>
      <c r="F33" s="58"/>
      <c r="G33" s="58"/>
      <c r="H33" s="58"/>
      <c r="I33" s="58"/>
      <c r="J33" s="58"/>
      <c r="K33" s="58"/>
      <c r="L33" s="58"/>
      <c r="M33" s="58"/>
      <c r="N33" s="58"/>
      <c r="O33" s="59"/>
      <c r="P33" s="20"/>
      <c r="Q33" s="37"/>
      <c r="R33" s="37"/>
      <c r="S33" s="37"/>
      <c r="T33" s="52"/>
      <c r="U33" s="52"/>
      <c r="V33" s="52"/>
      <c r="W33" s="52"/>
      <c r="X33" s="52"/>
      <c r="Y33" s="52"/>
    </row>
    <row r="34" spans="1:25" ht="25.5" customHeight="1" thickBot="1" x14ac:dyDescent="0.4">
      <c r="A34" s="74"/>
      <c r="B34" s="76" t="s">
        <v>35</v>
      </c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8"/>
      <c r="P34" s="21"/>
      <c r="Q34" s="37"/>
      <c r="R34" s="37"/>
      <c r="S34" s="37"/>
      <c r="T34" s="52"/>
      <c r="U34" s="52"/>
      <c r="V34" s="52"/>
      <c r="W34" s="52"/>
      <c r="X34" s="52"/>
      <c r="Y34" s="52"/>
    </row>
    <row r="35" spans="1:25" x14ac:dyDescent="0.35">
      <c r="A35" s="75" t="str">
        <f t="shared" ref="A35" si="1">IF(A29="leden","únor",IF(A29="únor","březen",IF(A29="březen","duben",IF(A29="duben","květen",IF(A29="květen","červen",IF(A29="červen","červenec",IF(A29="červenec","srpen",IF(A29="srpen","září",IF(A29="září","říjen",IF(A29="říjen","listopad",IF(A29="listopad","prosinec","leden")))))))))))</f>
        <v>květen</v>
      </c>
      <c r="B35" s="13" t="s">
        <v>10</v>
      </c>
      <c r="C35" s="14"/>
      <c r="D35" s="15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16"/>
      <c r="Q35" s="37"/>
      <c r="R35" s="37"/>
      <c r="S35" s="37"/>
      <c r="T35" s="52"/>
      <c r="U35" s="52"/>
      <c r="V35" s="52"/>
      <c r="W35" s="52"/>
      <c r="X35" s="52"/>
      <c r="Y35" s="52"/>
    </row>
    <row r="36" spans="1:25" x14ac:dyDescent="0.35">
      <c r="A36" s="73"/>
      <c r="B36" s="17" t="s">
        <v>11</v>
      </c>
      <c r="C36" s="18"/>
      <c r="D36" s="19"/>
      <c r="E36" s="207"/>
      <c r="F36" s="208"/>
      <c r="G36" s="208"/>
      <c r="H36" s="208"/>
      <c r="I36" s="208"/>
      <c r="J36" s="208"/>
      <c r="K36" s="208"/>
      <c r="L36" s="208"/>
      <c r="M36" s="208"/>
      <c r="N36" s="208"/>
      <c r="O36" s="209"/>
      <c r="P36" s="20"/>
      <c r="Q36" s="37"/>
      <c r="R36" s="37"/>
      <c r="S36" s="37"/>
      <c r="T36" s="52"/>
      <c r="U36" s="52"/>
      <c r="V36" s="52"/>
      <c r="W36" s="52"/>
      <c r="X36" s="52"/>
      <c r="Y36" s="52"/>
    </row>
    <row r="37" spans="1:25" x14ac:dyDescent="0.35">
      <c r="A37" s="73"/>
      <c r="B37" s="17" t="s">
        <v>12</v>
      </c>
      <c r="C37" s="18"/>
      <c r="D37" s="19"/>
      <c r="E37" s="57"/>
      <c r="F37" s="58"/>
      <c r="G37" s="58"/>
      <c r="H37" s="58"/>
      <c r="I37" s="58"/>
      <c r="J37" s="58"/>
      <c r="K37" s="58"/>
      <c r="L37" s="58"/>
      <c r="M37" s="58"/>
      <c r="N37" s="58"/>
      <c r="O37" s="59"/>
      <c r="P37" s="20"/>
      <c r="Q37" s="37"/>
      <c r="R37" s="37"/>
      <c r="S37" s="37"/>
      <c r="T37" s="52"/>
      <c r="U37" s="52"/>
      <c r="V37" s="52"/>
      <c r="W37" s="52"/>
      <c r="X37" s="52"/>
      <c r="Y37" s="52"/>
    </row>
    <row r="38" spans="1:25" x14ac:dyDescent="0.35">
      <c r="A38" s="73"/>
      <c r="B38" s="17" t="s">
        <v>13</v>
      </c>
      <c r="C38" s="18"/>
      <c r="D38" s="19"/>
      <c r="E38" s="57"/>
      <c r="F38" s="58"/>
      <c r="G38" s="58"/>
      <c r="H38" s="58"/>
      <c r="I38" s="58"/>
      <c r="J38" s="58"/>
      <c r="K38" s="58"/>
      <c r="L38" s="58"/>
      <c r="M38" s="58"/>
      <c r="N38" s="58"/>
      <c r="O38" s="59"/>
      <c r="P38" s="20"/>
      <c r="Q38" s="37"/>
      <c r="R38" s="37"/>
      <c r="S38" s="37"/>
      <c r="T38" s="52"/>
      <c r="U38" s="52"/>
      <c r="V38" s="52"/>
      <c r="W38" s="52"/>
      <c r="X38" s="52"/>
      <c r="Y38" s="52"/>
    </row>
    <row r="39" spans="1:25" x14ac:dyDescent="0.35">
      <c r="A39" s="73"/>
      <c r="B39" s="17" t="s">
        <v>14</v>
      </c>
      <c r="C39" s="18"/>
      <c r="D39" s="19"/>
      <c r="E39" s="57"/>
      <c r="F39" s="58"/>
      <c r="G39" s="58"/>
      <c r="H39" s="58"/>
      <c r="I39" s="58"/>
      <c r="J39" s="58"/>
      <c r="K39" s="58"/>
      <c r="L39" s="58"/>
      <c r="M39" s="58"/>
      <c r="N39" s="58"/>
      <c r="O39" s="59"/>
      <c r="P39" s="20"/>
      <c r="Q39" s="37"/>
      <c r="R39" s="37"/>
      <c r="S39" s="37"/>
      <c r="T39" s="52"/>
      <c r="U39" s="52"/>
      <c r="V39" s="52"/>
      <c r="W39" s="52"/>
      <c r="X39" s="52"/>
      <c r="Y39" s="52"/>
    </row>
    <row r="40" spans="1:25" ht="25.5" customHeight="1" thickBot="1" x14ac:dyDescent="0.4">
      <c r="A40" s="74"/>
      <c r="B40" s="76" t="s">
        <v>35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8"/>
      <c r="P40" s="21"/>
      <c r="Q40" s="37"/>
      <c r="R40" s="37"/>
      <c r="S40" s="37"/>
      <c r="T40" s="52"/>
      <c r="U40" s="52"/>
      <c r="V40" s="52"/>
      <c r="W40" s="52"/>
      <c r="X40" s="52"/>
      <c r="Y40" s="52"/>
    </row>
    <row r="41" spans="1:25" x14ac:dyDescent="0.35">
      <c r="A41" s="75" t="str">
        <f t="shared" ref="A41" si="2">IF(A35="leden","únor",IF(A35="únor","březen",IF(A35="březen","duben",IF(A35="duben","květen",IF(A35="květen","červen",IF(A35="červen","červenec",IF(A35="červenec","srpen",IF(A35="srpen","září",IF(A35="září","říjen",IF(A35="říjen","listopad",IF(A35="listopad","prosinec","leden")))))))))))</f>
        <v>červen</v>
      </c>
      <c r="B41" s="13" t="s">
        <v>10</v>
      </c>
      <c r="C41" s="14"/>
      <c r="D41" s="15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16"/>
      <c r="Q41" s="37"/>
      <c r="R41" s="37"/>
      <c r="S41" s="37"/>
      <c r="T41" s="52"/>
      <c r="U41" s="52"/>
      <c r="V41" s="52"/>
      <c r="W41" s="52"/>
      <c r="X41" s="52"/>
      <c r="Y41" s="52"/>
    </row>
    <row r="42" spans="1:25" x14ac:dyDescent="0.35">
      <c r="A42" s="73"/>
      <c r="B42" s="17" t="s">
        <v>11</v>
      </c>
      <c r="C42" s="18"/>
      <c r="D42" s="19"/>
      <c r="E42" s="57"/>
      <c r="F42" s="58"/>
      <c r="G42" s="58"/>
      <c r="H42" s="58"/>
      <c r="I42" s="58"/>
      <c r="J42" s="58"/>
      <c r="K42" s="58"/>
      <c r="L42" s="58"/>
      <c r="M42" s="58"/>
      <c r="N42" s="58"/>
      <c r="O42" s="59"/>
      <c r="P42" s="20"/>
      <c r="Q42" s="37"/>
      <c r="R42" s="37"/>
      <c r="S42" s="37"/>
      <c r="T42" s="52"/>
      <c r="U42" s="52"/>
      <c r="V42" s="52"/>
      <c r="W42" s="52"/>
      <c r="X42" s="52"/>
      <c r="Y42" s="52"/>
    </row>
    <row r="43" spans="1:25" x14ac:dyDescent="0.35">
      <c r="A43" s="73"/>
      <c r="B43" s="17" t="s">
        <v>12</v>
      </c>
      <c r="C43" s="18"/>
      <c r="D43" s="19"/>
      <c r="E43" s="57"/>
      <c r="F43" s="58"/>
      <c r="G43" s="58"/>
      <c r="H43" s="58"/>
      <c r="I43" s="58"/>
      <c r="J43" s="58"/>
      <c r="K43" s="58"/>
      <c r="L43" s="58"/>
      <c r="M43" s="58"/>
      <c r="N43" s="58"/>
      <c r="O43" s="59"/>
      <c r="P43" s="20"/>
      <c r="Q43" s="37"/>
      <c r="R43" s="37"/>
      <c r="S43" s="37"/>
      <c r="T43" s="52"/>
      <c r="U43" s="52"/>
      <c r="V43" s="52"/>
      <c r="W43" s="52"/>
      <c r="X43" s="52"/>
      <c r="Y43" s="52"/>
    </row>
    <row r="44" spans="1:25" x14ac:dyDescent="0.35">
      <c r="A44" s="73"/>
      <c r="B44" s="17" t="s">
        <v>13</v>
      </c>
      <c r="C44" s="18"/>
      <c r="D44" s="19"/>
      <c r="E44" s="57"/>
      <c r="F44" s="58"/>
      <c r="G44" s="58"/>
      <c r="H44" s="58"/>
      <c r="I44" s="58"/>
      <c r="J44" s="58"/>
      <c r="K44" s="58"/>
      <c r="L44" s="58"/>
      <c r="M44" s="58"/>
      <c r="N44" s="58"/>
      <c r="O44" s="59"/>
      <c r="P44" s="20"/>
      <c r="Q44" s="37"/>
      <c r="R44" s="37"/>
      <c r="S44" s="37"/>
      <c r="T44" s="52"/>
      <c r="U44" s="52"/>
      <c r="V44" s="52"/>
      <c r="W44" s="52"/>
      <c r="X44" s="52"/>
      <c r="Y44" s="52"/>
    </row>
    <row r="45" spans="1:25" x14ac:dyDescent="0.35">
      <c r="A45" s="73"/>
      <c r="B45" s="17" t="s">
        <v>14</v>
      </c>
      <c r="C45" s="18"/>
      <c r="D45" s="19"/>
      <c r="E45" s="57"/>
      <c r="F45" s="58"/>
      <c r="G45" s="58"/>
      <c r="H45" s="58"/>
      <c r="I45" s="58"/>
      <c r="J45" s="58"/>
      <c r="K45" s="58"/>
      <c r="L45" s="58"/>
      <c r="M45" s="58"/>
      <c r="N45" s="58"/>
      <c r="O45" s="59"/>
      <c r="P45" s="20"/>
      <c r="Q45" s="37"/>
      <c r="R45" s="37"/>
      <c r="S45" s="37"/>
      <c r="T45" s="52"/>
      <c r="U45" s="52"/>
      <c r="V45" s="52"/>
      <c r="W45" s="52"/>
      <c r="X45" s="52"/>
      <c r="Y45" s="52"/>
    </row>
    <row r="46" spans="1:25" ht="25.5" customHeight="1" thickBot="1" x14ac:dyDescent="0.4">
      <c r="A46" s="74"/>
      <c r="B46" s="76" t="s">
        <v>35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8"/>
      <c r="P46" s="21"/>
      <c r="Q46" s="37"/>
      <c r="R46" s="37"/>
      <c r="S46" s="37"/>
      <c r="T46" s="52"/>
      <c r="U46" s="52"/>
      <c r="V46" s="52"/>
      <c r="W46" s="52"/>
      <c r="X46" s="52"/>
      <c r="Y46" s="52"/>
    </row>
    <row r="47" spans="1:25" x14ac:dyDescent="0.35">
      <c r="A47" s="75" t="str">
        <f t="shared" ref="A47" si="3">IF(A41="leden","únor",IF(A41="únor","březen",IF(A41="březen","duben",IF(A41="duben","květen",IF(A41="květen","červen",IF(A41="červen","červenec",IF(A41="červenec","srpen",IF(A41="srpen","září",IF(A41="září","říjen",IF(A41="říjen","listopad",IF(A41="listopad","prosinec","leden")))))))))))</f>
        <v>červenec</v>
      </c>
      <c r="B47" s="13" t="s">
        <v>10</v>
      </c>
      <c r="C47" s="14"/>
      <c r="D47" s="15"/>
      <c r="E47" s="54"/>
      <c r="F47" s="55"/>
      <c r="G47" s="55"/>
      <c r="H47" s="55"/>
      <c r="I47" s="55"/>
      <c r="J47" s="55"/>
      <c r="K47" s="55"/>
      <c r="L47" s="55"/>
      <c r="M47" s="55"/>
      <c r="N47" s="55"/>
      <c r="O47" s="56"/>
      <c r="P47" s="16"/>
      <c r="Q47" s="37"/>
      <c r="R47" s="37"/>
      <c r="S47" s="37"/>
      <c r="T47" s="52"/>
      <c r="U47" s="52"/>
      <c r="V47" s="52"/>
      <c r="W47" s="52"/>
      <c r="X47" s="52"/>
      <c r="Y47" s="52"/>
    </row>
    <row r="48" spans="1:25" x14ac:dyDescent="0.35">
      <c r="A48" s="73"/>
      <c r="B48" s="17" t="s">
        <v>11</v>
      </c>
      <c r="C48" s="18"/>
      <c r="D48" s="19"/>
      <c r="E48" s="57"/>
      <c r="F48" s="58"/>
      <c r="G48" s="58"/>
      <c r="H48" s="58"/>
      <c r="I48" s="58"/>
      <c r="J48" s="58"/>
      <c r="K48" s="58"/>
      <c r="L48" s="58"/>
      <c r="M48" s="58"/>
      <c r="N48" s="58"/>
      <c r="O48" s="59"/>
      <c r="P48" s="20"/>
      <c r="Q48" s="37"/>
      <c r="R48" s="37"/>
      <c r="S48" s="37"/>
      <c r="T48" s="52"/>
      <c r="U48" s="52"/>
      <c r="V48" s="52"/>
      <c r="W48" s="52"/>
      <c r="X48" s="52"/>
      <c r="Y48" s="52"/>
    </row>
    <row r="49" spans="1:25" x14ac:dyDescent="0.35">
      <c r="A49" s="73"/>
      <c r="B49" s="17" t="s">
        <v>12</v>
      </c>
      <c r="C49" s="18"/>
      <c r="D49" s="19"/>
      <c r="E49" s="57"/>
      <c r="F49" s="58"/>
      <c r="G49" s="58"/>
      <c r="H49" s="58"/>
      <c r="I49" s="58"/>
      <c r="J49" s="58"/>
      <c r="K49" s="58"/>
      <c r="L49" s="58"/>
      <c r="M49" s="58"/>
      <c r="N49" s="58"/>
      <c r="O49" s="59"/>
      <c r="P49" s="20"/>
      <c r="Q49" s="37"/>
      <c r="R49" s="37"/>
      <c r="S49" s="37"/>
      <c r="T49" s="52"/>
      <c r="U49" s="52"/>
      <c r="V49" s="52"/>
      <c r="W49" s="52"/>
      <c r="X49" s="52"/>
      <c r="Y49" s="52"/>
    </row>
    <row r="50" spans="1:25" x14ac:dyDescent="0.35">
      <c r="A50" s="73"/>
      <c r="B50" s="17" t="s">
        <v>13</v>
      </c>
      <c r="C50" s="18"/>
      <c r="D50" s="19"/>
      <c r="E50" s="57"/>
      <c r="F50" s="58"/>
      <c r="G50" s="58"/>
      <c r="H50" s="58"/>
      <c r="I50" s="58"/>
      <c r="J50" s="58"/>
      <c r="K50" s="58"/>
      <c r="L50" s="58"/>
      <c r="M50" s="58"/>
      <c r="N50" s="58"/>
      <c r="O50" s="59"/>
      <c r="P50" s="20"/>
      <c r="Q50" s="37"/>
      <c r="R50" s="37"/>
      <c r="S50" s="37"/>
      <c r="T50" s="52"/>
      <c r="U50" s="52"/>
      <c r="V50" s="52"/>
      <c r="W50" s="52"/>
      <c r="X50" s="52"/>
      <c r="Y50" s="52"/>
    </row>
    <row r="51" spans="1:25" x14ac:dyDescent="0.35">
      <c r="A51" s="73"/>
      <c r="B51" s="17" t="s">
        <v>14</v>
      </c>
      <c r="C51" s="18"/>
      <c r="D51" s="19"/>
      <c r="E51" s="57"/>
      <c r="F51" s="58"/>
      <c r="G51" s="58"/>
      <c r="H51" s="58"/>
      <c r="I51" s="58"/>
      <c r="J51" s="58"/>
      <c r="K51" s="58"/>
      <c r="L51" s="58"/>
      <c r="M51" s="58"/>
      <c r="N51" s="58"/>
      <c r="O51" s="59"/>
      <c r="P51" s="20"/>
      <c r="Q51" s="37"/>
      <c r="R51" s="37"/>
      <c r="S51" s="37"/>
      <c r="T51" s="52"/>
      <c r="U51" s="52"/>
      <c r="V51" s="52"/>
      <c r="W51" s="52"/>
      <c r="X51" s="52"/>
      <c r="Y51" s="52"/>
    </row>
    <row r="52" spans="1:25" ht="25.5" customHeight="1" thickBot="1" x14ac:dyDescent="0.4">
      <c r="A52" s="74"/>
      <c r="B52" s="76" t="s">
        <v>35</v>
      </c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8"/>
      <c r="P52" s="21"/>
      <c r="Q52" s="37"/>
      <c r="R52" s="37"/>
      <c r="S52" s="37"/>
      <c r="T52" s="52"/>
      <c r="U52" s="52"/>
      <c r="V52" s="52"/>
      <c r="W52" s="52"/>
      <c r="X52" s="52"/>
      <c r="Y52" s="52"/>
    </row>
    <row r="53" spans="1:25" x14ac:dyDescent="0.35">
      <c r="A53" s="22"/>
      <c r="B53" s="22"/>
      <c r="C53" s="22"/>
      <c r="D53" s="22"/>
      <c r="E53" s="22"/>
      <c r="F53" s="22"/>
      <c r="G53" s="22"/>
      <c r="H53" s="22"/>
      <c r="I53" s="22"/>
      <c r="J53" s="23"/>
      <c r="K53" s="24"/>
      <c r="L53" s="24"/>
      <c r="M53" s="25"/>
      <c r="N53" s="25"/>
      <c r="O53" s="25"/>
      <c r="P53" s="26"/>
      <c r="Q53" s="37"/>
      <c r="R53" s="37"/>
      <c r="S53" s="37"/>
      <c r="T53" s="52"/>
      <c r="U53" s="52"/>
      <c r="V53" s="52"/>
      <c r="W53" s="52"/>
      <c r="X53" s="52"/>
      <c r="Y53" s="52"/>
    </row>
    <row r="54" spans="1:25" ht="15" customHeight="1" x14ac:dyDescent="0.35">
      <c r="A54" s="212" t="s">
        <v>37</v>
      </c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16"/>
      <c r="P54" s="27">
        <f>P22+P28+P34+P40+P46+P52</f>
        <v>0</v>
      </c>
      <c r="Q54" s="37"/>
      <c r="R54" s="37"/>
      <c r="S54" s="37"/>
      <c r="T54" s="52"/>
      <c r="U54" s="52"/>
      <c r="V54" s="52"/>
      <c r="W54" s="52"/>
      <c r="X54" s="52"/>
      <c r="Y54" s="52"/>
    </row>
    <row r="55" spans="1:25" ht="15" thickBot="1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8"/>
      <c r="M55" s="25"/>
      <c r="N55" s="25"/>
      <c r="O55" s="25"/>
      <c r="P55" s="25"/>
      <c r="Q55" s="37"/>
      <c r="R55" s="37"/>
      <c r="S55" s="37"/>
      <c r="T55" s="52"/>
      <c r="U55" s="52"/>
      <c r="V55" s="52"/>
      <c r="W55" s="52"/>
      <c r="X55" s="52"/>
      <c r="Y55" s="52"/>
    </row>
    <row r="56" spans="1:25" ht="15" customHeight="1" x14ac:dyDescent="0.35">
      <c r="A56" s="213"/>
      <c r="B56" s="214"/>
      <c r="C56" s="214"/>
      <c r="D56" s="215"/>
      <c r="E56" s="210" t="s">
        <v>48</v>
      </c>
      <c r="F56" s="211" t="e">
        <f>#VALUE!</f>
        <v>#VALUE!</v>
      </c>
      <c r="G56" s="193" t="str">
        <f>IF(E56="leden","únor",IF(E56="únor","březen",IF(E56="březen","duben",IF(E56="duben","květen",IF(E56="květen","červen",IF(E56="červen","červenec",IF(E56="červenec","srpen",IF(E56="srpen","září",IF(E56="září","říjen",IF(E56="říjen","listopad",IF(E56="listopad","prosinec","leden" )))))))))))</f>
        <v>březen</v>
      </c>
      <c r="H56" s="194"/>
      <c r="I56" s="193" t="str">
        <f>IF(G56="leden","únor",IF(G56="únor","březen",IF(G56="březen","duben",IF(G56="duben","květen",IF(G56="květen","červen",IF(G56="červen","červenec",IF(G56="červenec","srpen",IF(G56="srpen","září",IF(G56="září","říjen",IF(G56="říjen","listopad",IF(G56="listopad","prosinec","leden" )))))))))))</f>
        <v>duben</v>
      </c>
      <c r="J56" s="194"/>
      <c r="K56" s="193" t="str">
        <f t="shared" ref="K56" si="4">IF(I56="leden","únor",IF(I56="únor","březen",IF(I56="březen","duben",IF(I56="duben","květen",IF(I56="květen","červen",IF(I56="červen","červenec",IF(I56="červenec","srpen",IF(I56="srpen","září",IF(I56="září","říjen",IF(I56="říjen","listopad",IF(I56="listopad","prosinec","leden" )))))))))))</f>
        <v>květen</v>
      </c>
      <c r="L56" s="194"/>
      <c r="M56" s="193" t="str">
        <f t="shared" ref="M56" si="5">IF(K56="leden","únor",IF(K56="únor","březen",IF(K56="březen","duben",IF(K56="duben","květen",IF(K56="květen","červen",IF(K56="červen","červenec",IF(K56="červenec","srpen",IF(K56="srpen","září",IF(K56="září","říjen",IF(K56="říjen","listopad",IF(K56="listopad","prosinec","leden" )))))))))))</f>
        <v>červen</v>
      </c>
      <c r="N56" s="194"/>
      <c r="O56" s="193" t="str">
        <f t="shared" ref="O56" si="6">IF(M56="leden","únor",IF(M56="únor","březen",IF(M56="březen","duben",IF(M56="duben","květen",IF(M56="květen","červen",IF(M56="červen","červenec",IF(M56="červenec","srpen",IF(M56="srpen","září",IF(M56="září","říjen",IF(M56="říjen","listopad",IF(M56="listopad","prosinec","leden" )))))))))))</f>
        <v>červenec</v>
      </c>
      <c r="P56" s="194"/>
      <c r="Q56" s="37"/>
      <c r="R56" s="37"/>
      <c r="S56" s="37"/>
      <c r="T56" s="52"/>
      <c r="U56" s="52"/>
      <c r="V56" s="52"/>
      <c r="W56" s="52"/>
      <c r="X56" s="52"/>
      <c r="Y56" s="52"/>
    </row>
    <row r="57" spans="1:25" ht="27" customHeight="1" x14ac:dyDescent="0.35">
      <c r="A57" s="165" t="s">
        <v>38</v>
      </c>
      <c r="B57" s="166"/>
      <c r="C57" s="166"/>
      <c r="D57" s="167"/>
      <c r="E57" s="172">
        <f>((160*E11)/20)*S17</f>
        <v>0</v>
      </c>
      <c r="F57" s="173"/>
      <c r="G57" s="172">
        <f>((168*E11)/21)*S23</f>
        <v>0</v>
      </c>
      <c r="H57" s="173"/>
      <c r="I57" s="182"/>
      <c r="J57" s="144"/>
      <c r="K57" s="182"/>
      <c r="L57" s="144"/>
      <c r="M57" s="182"/>
      <c r="N57" s="144"/>
      <c r="O57" s="182"/>
      <c r="P57" s="144"/>
      <c r="Q57" s="37"/>
      <c r="R57" s="37"/>
      <c r="S57" s="37"/>
      <c r="T57" s="52"/>
      <c r="U57" s="52"/>
      <c r="V57" s="52"/>
      <c r="W57" s="52"/>
      <c r="X57" s="52"/>
      <c r="Y57" s="52"/>
    </row>
    <row r="58" spans="1:25" x14ac:dyDescent="0.35">
      <c r="A58" s="165" t="s">
        <v>25</v>
      </c>
      <c r="B58" s="166"/>
      <c r="C58" s="166"/>
      <c r="D58" s="171"/>
      <c r="E58" s="172">
        <v>0</v>
      </c>
      <c r="F58" s="173"/>
      <c r="G58" s="172">
        <v>0</v>
      </c>
      <c r="H58" s="173"/>
      <c r="I58" s="182"/>
      <c r="J58" s="144"/>
      <c r="K58" s="182"/>
      <c r="L58" s="144"/>
      <c r="M58" s="182"/>
      <c r="N58" s="144"/>
      <c r="O58" s="182"/>
      <c r="P58" s="144"/>
      <c r="Q58" s="37"/>
      <c r="R58" s="37"/>
      <c r="S58" s="37"/>
      <c r="T58" s="52"/>
      <c r="U58" s="52"/>
      <c r="V58" s="52"/>
      <c r="W58" s="52"/>
      <c r="X58" s="52"/>
      <c r="Y58" s="52"/>
    </row>
    <row r="59" spans="1:25" x14ac:dyDescent="0.35">
      <c r="A59" s="165" t="s">
        <v>41</v>
      </c>
      <c r="B59" s="166"/>
      <c r="C59" s="166"/>
      <c r="D59" s="167"/>
      <c r="E59" s="172">
        <f>((160*E11)/20)*S18</f>
        <v>0</v>
      </c>
      <c r="F59" s="173"/>
      <c r="G59" s="172">
        <f>((168*E11)/21)*S24</f>
        <v>0</v>
      </c>
      <c r="H59" s="173"/>
      <c r="I59" s="182"/>
      <c r="J59" s="144"/>
      <c r="K59" s="182"/>
      <c r="L59" s="144"/>
      <c r="M59" s="182"/>
      <c r="N59" s="144"/>
      <c r="O59" s="182"/>
      <c r="P59" s="144"/>
      <c r="Q59" s="37"/>
      <c r="R59" s="37"/>
      <c r="S59" s="37"/>
      <c r="T59" s="52"/>
      <c r="U59" s="52"/>
      <c r="V59" s="52"/>
      <c r="W59" s="52"/>
      <c r="X59" s="52"/>
      <c r="Y59" s="52"/>
    </row>
    <row r="60" spans="1:25" ht="27" customHeight="1" x14ac:dyDescent="0.35">
      <c r="A60" s="165" t="s">
        <v>39</v>
      </c>
      <c r="B60" s="166"/>
      <c r="C60" s="166"/>
      <c r="D60" s="167"/>
      <c r="E60" s="172">
        <f>((160*E11)/20)*S19</f>
        <v>0</v>
      </c>
      <c r="F60" s="173"/>
      <c r="G60" s="172">
        <f>((168*E11)/21)*S25</f>
        <v>0</v>
      </c>
      <c r="H60" s="173"/>
      <c r="I60" s="182"/>
      <c r="J60" s="144"/>
      <c r="K60" s="182"/>
      <c r="L60" s="144"/>
      <c r="M60" s="182"/>
      <c r="N60" s="144"/>
      <c r="O60" s="182"/>
      <c r="P60" s="144"/>
      <c r="Q60" s="37"/>
      <c r="R60" s="37"/>
      <c r="S60" s="37"/>
      <c r="T60" s="52"/>
      <c r="U60" s="52"/>
      <c r="V60" s="52"/>
      <c r="W60" s="52"/>
      <c r="X60" s="52"/>
      <c r="Y60" s="52"/>
    </row>
    <row r="61" spans="1:25" ht="39" customHeight="1" x14ac:dyDescent="0.35">
      <c r="A61" s="165" t="s">
        <v>44</v>
      </c>
      <c r="B61" s="166"/>
      <c r="C61" s="166"/>
      <c r="D61" s="167"/>
      <c r="E61" s="172">
        <v>0</v>
      </c>
      <c r="F61" s="173"/>
      <c r="G61" s="172">
        <v>0</v>
      </c>
      <c r="H61" s="173"/>
      <c r="I61" s="182"/>
      <c r="J61" s="144"/>
      <c r="K61" s="182"/>
      <c r="L61" s="144"/>
      <c r="M61" s="182"/>
      <c r="N61" s="144"/>
      <c r="O61" s="182"/>
      <c r="P61" s="144"/>
      <c r="Q61" s="37"/>
      <c r="R61" s="37"/>
      <c r="S61" s="37"/>
      <c r="T61" s="52"/>
      <c r="U61" s="52"/>
      <c r="V61" s="52"/>
      <c r="W61" s="52"/>
      <c r="X61" s="52"/>
      <c r="Y61" s="52"/>
    </row>
    <row r="62" spans="1:25" ht="15" thickBot="1" x14ac:dyDescent="0.4">
      <c r="A62" s="168" t="s">
        <v>40</v>
      </c>
      <c r="B62" s="169"/>
      <c r="C62" s="169"/>
      <c r="D62" s="170"/>
      <c r="E62" s="172">
        <v>0</v>
      </c>
      <c r="F62" s="173"/>
      <c r="G62" s="172">
        <v>0</v>
      </c>
      <c r="H62" s="173"/>
      <c r="I62" s="182"/>
      <c r="J62" s="144"/>
      <c r="K62" s="182"/>
      <c r="L62" s="144"/>
      <c r="M62" s="182"/>
      <c r="N62" s="144"/>
      <c r="O62" s="182"/>
      <c r="P62" s="144"/>
      <c r="Q62" s="37"/>
      <c r="R62" s="37"/>
      <c r="S62" s="37"/>
      <c r="T62" s="52"/>
      <c r="U62" s="52"/>
      <c r="V62" s="52"/>
      <c r="W62" s="52"/>
      <c r="X62" s="52"/>
      <c r="Y62" s="52"/>
    </row>
    <row r="63" spans="1:25" ht="26.25" customHeight="1" thickBot="1" x14ac:dyDescent="0.4">
      <c r="A63" s="183" t="s">
        <v>42</v>
      </c>
      <c r="B63" s="184"/>
      <c r="C63" s="184"/>
      <c r="D63" s="185"/>
      <c r="E63" s="186">
        <f>SUM(E57:F62)-E58</f>
        <v>0</v>
      </c>
      <c r="F63" s="187"/>
      <c r="G63" s="186">
        <f t="shared" ref="G63" si="7">SUM(G57:H62)-G58</f>
        <v>0</v>
      </c>
      <c r="H63" s="187"/>
      <c r="I63" s="205"/>
      <c r="J63" s="206"/>
      <c r="K63" s="205"/>
      <c r="L63" s="206"/>
      <c r="M63" s="205"/>
      <c r="N63" s="206"/>
      <c r="O63" s="205"/>
      <c r="P63" s="206"/>
      <c r="Q63" s="37"/>
      <c r="R63" s="37"/>
      <c r="S63" s="37"/>
      <c r="T63" s="52"/>
      <c r="U63" s="52"/>
      <c r="V63" s="52"/>
      <c r="W63" s="52"/>
      <c r="X63" s="52"/>
      <c r="Y63" s="52"/>
    </row>
    <row r="64" spans="1:25" ht="15.75" customHeight="1" x14ac:dyDescent="0.3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37"/>
      <c r="R64" s="37"/>
      <c r="S64" s="37"/>
      <c r="T64" s="52"/>
      <c r="U64" s="52"/>
      <c r="V64" s="52"/>
      <c r="W64" s="52"/>
      <c r="X64" s="52"/>
      <c r="Y64" s="52"/>
    </row>
    <row r="65" spans="1:25" ht="15.75" customHeight="1" x14ac:dyDescent="0.35">
      <c r="A65" s="178" t="s">
        <v>43</v>
      </c>
      <c r="B65" s="17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37"/>
      <c r="R65" s="37"/>
      <c r="S65" s="37"/>
      <c r="T65" s="52"/>
      <c r="U65" s="52"/>
      <c r="V65" s="52"/>
      <c r="W65" s="52"/>
      <c r="X65" s="52"/>
      <c r="Y65" s="52"/>
    </row>
    <row r="66" spans="1:25" ht="15.75" customHeight="1" x14ac:dyDescent="0.35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37"/>
      <c r="R66" s="37"/>
      <c r="S66" s="37"/>
      <c r="T66" s="52"/>
      <c r="U66" s="52"/>
      <c r="V66" s="52"/>
      <c r="W66" s="52"/>
      <c r="X66" s="52"/>
      <c r="Y66" s="52"/>
    </row>
    <row r="67" spans="1:25" ht="15.75" customHeight="1" x14ac:dyDescent="0.35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37"/>
      <c r="R67" s="37"/>
      <c r="S67" s="37"/>
      <c r="T67" s="52"/>
      <c r="U67" s="52"/>
      <c r="V67" s="52"/>
      <c r="W67" s="52"/>
      <c r="X67" s="52"/>
      <c r="Y67" s="52"/>
    </row>
    <row r="68" spans="1:25" x14ac:dyDescent="0.35">
      <c r="A68" s="30" t="s">
        <v>18</v>
      </c>
      <c r="B68" s="30"/>
      <c r="C68" s="30"/>
      <c r="D68" s="25"/>
      <c r="E68" s="25"/>
      <c r="F68" s="28"/>
      <c r="G68" s="31"/>
      <c r="H68" s="28"/>
      <c r="I68" s="25"/>
      <c r="J68" s="25"/>
      <c r="K68" s="25"/>
      <c r="L68" s="25"/>
      <c r="M68" s="25"/>
      <c r="N68" s="25"/>
      <c r="O68" s="25"/>
      <c r="P68" s="25"/>
      <c r="Q68" s="37"/>
      <c r="R68" s="37"/>
      <c r="S68" s="37"/>
      <c r="T68" s="52"/>
      <c r="U68" s="52"/>
      <c r="V68" s="52"/>
      <c r="W68" s="52"/>
      <c r="X68" s="52"/>
      <c r="Y68" s="52"/>
    </row>
    <row r="69" spans="1:25" x14ac:dyDescent="0.35">
      <c r="A69" s="32" t="s">
        <v>15</v>
      </c>
      <c r="B69" s="32"/>
      <c r="C69" s="32"/>
      <c r="D69" s="32"/>
      <c r="E69" s="32"/>
      <c r="F69" s="32"/>
      <c r="G69" s="32"/>
      <c r="H69" s="32"/>
      <c r="I69" s="32"/>
      <c r="J69" s="32"/>
      <c r="K69" s="25"/>
      <c r="L69" s="25"/>
      <c r="M69" s="25"/>
      <c r="N69" s="25"/>
      <c r="O69" s="25"/>
      <c r="P69" s="25"/>
      <c r="Q69" s="37"/>
      <c r="R69" s="37"/>
      <c r="S69" s="37"/>
      <c r="T69" s="52"/>
      <c r="U69" s="52"/>
      <c r="V69" s="52"/>
      <c r="W69" s="52"/>
      <c r="X69" s="52"/>
      <c r="Y69" s="52"/>
    </row>
    <row r="70" spans="1:25" ht="15" thickBot="1" x14ac:dyDescent="0.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25"/>
      <c r="L70" s="25"/>
      <c r="M70" s="25"/>
      <c r="N70" s="25"/>
      <c r="O70" s="25"/>
      <c r="P70" s="25"/>
      <c r="Q70" s="37"/>
      <c r="R70" s="37"/>
      <c r="S70" s="37"/>
      <c r="T70" s="52"/>
      <c r="U70" s="52"/>
      <c r="V70" s="52"/>
      <c r="W70" s="52"/>
      <c r="X70" s="52"/>
      <c r="Y70" s="52"/>
    </row>
    <row r="71" spans="1:25" ht="15.75" customHeight="1" thickBot="1" x14ac:dyDescent="0.4">
      <c r="A71" s="32"/>
      <c r="B71" s="32"/>
      <c r="C71" s="32"/>
      <c r="D71" s="32"/>
      <c r="E71" s="32"/>
      <c r="F71" s="32"/>
      <c r="G71" s="176" t="s">
        <v>16</v>
      </c>
      <c r="H71" s="177"/>
      <c r="I71" s="176" t="s">
        <v>26</v>
      </c>
      <c r="J71" s="203"/>
      <c r="K71" s="204"/>
      <c r="L71" s="176" t="s">
        <v>27</v>
      </c>
      <c r="M71" s="177"/>
      <c r="N71" s="176" t="s">
        <v>28</v>
      </c>
      <c r="O71" s="203"/>
      <c r="P71" s="204"/>
      <c r="Q71" s="37"/>
      <c r="R71" s="37"/>
      <c r="S71" s="37"/>
      <c r="T71" s="52"/>
      <c r="U71" s="52"/>
      <c r="V71" s="52"/>
      <c r="W71" s="52"/>
      <c r="X71" s="52"/>
      <c r="Y71" s="52"/>
    </row>
    <row r="72" spans="1:25" ht="30" customHeight="1" thickBot="1" x14ac:dyDescent="0.4">
      <c r="A72" s="33"/>
      <c r="B72" s="33"/>
      <c r="C72" s="33"/>
      <c r="D72" s="33"/>
      <c r="E72" s="174" t="s">
        <v>29</v>
      </c>
      <c r="F72" s="175"/>
      <c r="G72" s="201">
        <v>43556</v>
      </c>
      <c r="H72" s="197"/>
      <c r="I72" s="195">
        <f>E6</f>
        <v>0</v>
      </c>
      <c r="J72" s="196"/>
      <c r="K72" s="197"/>
      <c r="L72" s="191" t="str">
        <f>E7</f>
        <v>Excelentní vědecký pracovník ČVUT</v>
      </c>
      <c r="M72" s="191"/>
      <c r="N72" s="191"/>
      <c r="O72" s="191"/>
      <c r="P72" s="192"/>
      <c r="Q72" s="37"/>
      <c r="R72" s="37"/>
      <c r="S72" s="37"/>
      <c r="T72" s="52"/>
      <c r="U72" s="52"/>
      <c r="V72" s="52"/>
      <c r="W72" s="52"/>
      <c r="X72" s="52"/>
      <c r="Y72" s="52"/>
    </row>
    <row r="73" spans="1:25" ht="30" customHeight="1" thickBot="1" x14ac:dyDescent="0.4">
      <c r="A73" s="34" t="s">
        <v>19</v>
      </c>
      <c r="B73" s="35"/>
      <c r="C73" s="35"/>
      <c r="D73" s="35"/>
      <c r="E73" s="174" t="s">
        <v>30</v>
      </c>
      <c r="F73" s="175"/>
      <c r="G73" s="202">
        <v>43556</v>
      </c>
      <c r="H73" s="200"/>
      <c r="I73" s="198" t="s">
        <v>61</v>
      </c>
      <c r="J73" s="199"/>
      <c r="K73" s="200"/>
      <c r="L73" s="188" t="s">
        <v>62</v>
      </c>
      <c r="M73" s="188"/>
      <c r="N73" s="188"/>
      <c r="O73" s="188"/>
      <c r="P73" s="189"/>
      <c r="Q73" s="37"/>
      <c r="R73" s="37"/>
      <c r="S73" s="37"/>
      <c r="T73" s="52"/>
      <c r="U73" s="52"/>
      <c r="V73" s="52"/>
      <c r="W73" s="52"/>
      <c r="X73" s="52"/>
      <c r="Y73" s="52"/>
    </row>
    <row r="74" spans="1:25" x14ac:dyDescent="0.35">
      <c r="A74" s="36"/>
      <c r="B74" s="36"/>
      <c r="C74" s="36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52"/>
      <c r="U74" s="52"/>
      <c r="V74" s="52"/>
      <c r="W74" s="52"/>
      <c r="X74" s="52"/>
      <c r="Y74" s="52"/>
    </row>
    <row r="75" spans="1:25" x14ac:dyDescent="0.3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52"/>
      <c r="U75" s="52"/>
      <c r="V75" s="52"/>
      <c r="W75" s="52"/>
      <c r="X75" s="52"/>
      <c r="Y75" s="52"/>
    </row>
    <row r="76" spans="1:25" x14ac:dyDescent="0.3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52"/>
      <c r="U76" s="52"/>
      <c r="V76" s="52"/>
      <c r="W76" s="52"/>
      <c r="X76" s="52"/>
      <c r="Y76" s="52"/>
    </row>
    <row r="77" spans="1:25" x14ac:dyDescent="0.3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</row>
  </sheetData>
  <sheetProtection algorithmName="SHA-512" hashValue="IYkUEQaLXZAorsDN2YLmdVzyfJjA8Vizeda9Hoe5crWnrXAi5k1lZ83kUJ33Ux2s9gney0/yV6lNuzgHvDxZAg==" saltValue="UvQtO2qLzBoTi3629HtMuQ==" spinCount="100000" sheet="1" objects="1" scenarios="1" selectLockedCells="1"/>
  <mergeCells count="167">
    <mergeCell ref="E58:F58"/>
    <mergeCell ref="E59:F59"/>
    <mergeCell ref="E60:F60"/>
    <mergeCell ref="I57:J57"/>
    <mergeCell ref="O58:P58"/>
    <mergeCell ref="M58:N58"/>
    <mergeCell ref="B34:O34"/>
    <mergeCell ref="A59:D59"/>
    <mergeCell ref="A60:D60"/>
    <mergeCell ref="A35:A40"/>
    <mergeCell ref="B40:O40"/>
    <mergeCell ref="E35:O35"/>
    <mergeCell ref="E36:O36"/>
    <mergeCell ref="E37:O37"/>
    <mergeCell ref="E38:O38"/>
    <mergeCell ref="E39:O39"/>
    <mergeCell ref="A41:A46"/>
    <mergeCell ref="A47:A52"/>
    <mergeCell ref="E56:F56"/>
    <mergeCell ref="A54:O54"/>
    <mergeCell ref="B46:O46"/>
    <mergeCell ref="B52:O52"/>
    <mergeCell ref="A56:D56"/>
    <mergeCell ref="E47:O47"/>
    <mergeCell ref="E61:F61"/>
    <mergeCell ref="I59:J59"/>
    <mergeCell ref="I60:J60"/>
    <mergeCell ref="I61:J61"/>
    <mergeCell ref="E62:F62"/>
    <mergeCell ref="K62:L62"/>
    <mergeCell ref="M63:N63"/>
    <mergeCell ref="O63:P63"/>
    <mergeCell ref="O59:P59"/>
    <mergeCell ref="O60:P60"/>
    <mergeCell ref="O61:P61"/>
    <mergeCell ref="O62:P62"/>
    <mergeCell ref="I63:J63"/>
    <mergeCell ref="K63:L63"/>
    <mergeCell ref="I62:J62"/>
    <mergeCell ref="G59:H59"/>
    <mergeCell ref="N72:P72"/>
    <mergeCell ref="M56:N56"/>
    <mergeCell ref="O56:P56"/>
    <mergeCell ref="I72:K72"/>
    <mergeCell ref="I73:K73"/>
    <mergeCell ref="G72:H72"/>
    <mergeCell ref="G73:H73"/>
    <mergeCell ref="M59:N59"/>
    <mergeCell ref="M60:N60"/>
    <mergeCell ref="M61:N61"/>
    <mergeCell ref="M62:N62"/>
    <mergeCell ref="K58:L58"/>
    <mergeCell ref="K59:L59"/>
    <mergeCell ref="N71:P71"/>
    <mergeCell ref="I71:K71"/>
    <mergeCell ref="I58:J58"/>
    <mergeCell ref="G58:H58"/>
    <mergeCell ref="K57:L57"/>
    <mergeCell ref="M57:N57"/>
    <mergeCell ref="O57:P57"/>
    <mergeCell ref="G56:H56"/>
    <mergeCell ref="I56:J56"/>
    <mergeCell ref="K56:L56"/>
    <mergeCell ref="A61:D61"/>
    <mergeCell ref="A62:D62"/>
    <mergeCell ref="A58:D58"/>
    <mergeCell ref="G57:H57"/>
    <mergeCell ref="E73:F73"/>
    <mergeCell ref="G71:H71"/>
    <mergeCell ref="E57:F57"/>
    <mergeCell ref="A57:D57"/>
    <mergeCell ref="A65:B65"/>
    <mergeCell ref="A66:P66"/>
    <mergeCell ref="K60:L60"/>
    <mergeCell ref="K61:L61"/>
    <mergeCell ref="G60:H60"/>
    <mergeCell ref="G61:H61"/>
    <mergeCell ref="G62:H62"/>
    <mergeCell ref="L71:M71"/>
    <mergeCell ref="A63:D63"/>
    <mergeCell ref="E63:F63"/>
    <mergeCell ref="G63:H63"/>
    <mergeCell ref="L73:M73"/>
    <mergeCell ref="N73:P73"/>
    <mergeCell ref="E72:F72"/>
    <mergeCell ref="A67:P67"/>
    <mergeCell ref="L72:M72"/>
    <mergeCell ref="K10:L10"/>
    <mergeCell ref="M10:N10"/>
    <mergeCell ref="O10:P10"/>
    <mergeCell ref="A13:D13"/>
    <mergeCell ref="E13:F13"/>
    <mergeCell ref="A11:D11"/>
    <mergeCell ref="E11:F11"/>
    <mergeCell ref="G11:H11"/>
    <mergeCell ref="I11:J11"/>
    <mergeCell ref="K11:L11"/>
    <mergeCell ref="M11:N11"/>
    <mergeCell ref="O11:P11"/>
    <mergeCell ref="M13:N13"/>
    <mergeCell ref="O13:P13"/>
    <mergeCell ref="A15:P15"/>
    <mergeCell ref="A7:D7"/>
    <mergeCell ref="E7:H7"/>
    <mergeCell ref="I7:L7"/>
    <mergeCell ref="M7:P7"/>
    <mergeCell ref="A8:D8"/>
    <mergeCell ref="E8:H8"/>
    <mergeCell ref="I8:L8"/>
    <mergeCell ref="M8:P8"/>
    <mergeCell ref="E12:F12"/>
    <mergeCell ref="G12:H12"/>
    <mergeCell ref="I12:J12"/>
    <mergeCell ref="K12:L12"/>
    <mergeCell ref="M12:N12"/>
    <mergeCell ref="G13:H13"/>
    <mergeCell ref="I13:J13"/>
    <mergeCell ref="K13:L13"/>
    <mergeCell ref="O12:P12"/>
    <mergeCell ref="A12:D12"/>
    <mergeCell ref="A9:D9"/>
    <mergeCell ref="A10:D10"/>
    <mergeCell ref="E10:F10"/>
    <mergeCell ref="G10:H10"/>
    <mergeCell ref="I10:J10"/>
    <mergeCell ref="A1:P1"/>
    <mergeCell ref="A3:H3"/>
    <mergeCell ref="I3:L3"/>
    <mergeCell ref="M3:P3"/>
    <mergeCell ref="A4:H4"/>
    <mergeCell ref="I4:L4"/>
    <mergeCell ref="M4:P4"/>
    <mergeCell ref="I5:L5"/>
    <mergeCell ref="A6:D6"/>
    <mergeCell ref="E6:H6"/>
    <mergeCell ref="I6:L6"/>
    <mergeCell ref="M6:P6"/>
    <mergeCell ref="E16:O16"/>
    <mergeCell ref="E17:O17"/>
    <mergeCell ref="E18:O18"/>
    <mergeCell ref="E19:O19"/>
    <mergeCell ref="E23:O23"/>
    <mergeCell ref="E24:O24"/>
    <mergeCell ref="A17:A22"/>
    <mergeCell ref="A23:A28"/>
    <mergeCell ref="A29:A34"/>
    <mergeCell ref="B22:O22"/>
    <mergeCell ref="B28:O28"/>
    <mergeCell ref="E33:O33"/>
    <mergeCell ref="E32:O32"/>
    <mergeCell ref="E27:O27"/>
    <mergeCell ref="E26:O26"/>
    <mergeCell ref="E20:O20"/>
    <mergeCell ref="E21:O21"/>
    <mergeCell ref="E25:O25"/>
    <mergeCell ref="E29:O29"/>
    <mergeCell ref="E30:O30"/>
    <mergeCell ref="E31:O31"/>
    <mergeCell ref="E41:O41"/>
    <mergeCell ref="E48:O48"/>
    <mergeCell ref="E49:O49"/>
    <mergeCell ref="E50:O50"/>
    <mergeCell ref="E51:O51"/>
    <mergeCell ref="E45:O45"/>
    <mergeCell ref="E44:O44"/>
    <mergeCell ref="E43:O43"/>
    <mergeCell ref="E42:O42"/>
  </mergeCells>
  <dataValidations count="5">
    <dataValidation type="list" allowBlank="1" showInputMessage="1" showErrorMessage="1" sqref="M6:P6">
      <formula1>"Pracovní smlouva,DPP,DPČ"</formula1>
    </dataValidation>
    <dataValidation type="list" allowBlank="1" showInputMessage="1" showErrorMessage="1" sqref="L11">
      <formula1>"Pracovní smlouva,DPČ,DPP"</formula1>
    </dataValidation>
    <dataValidation type="decimal" allowBlank="1" showInputMessage="1" showErrorMessage="1" sqref="E57:E63 I57:I63 M57:M63 K57:K63 G57:G63 O57:O63">
      <formula1>0</formula1>
      <formula2>2000</formula2>
    </dataValidation>
    <dataValidation type="decimal" allowBlank="1" showInputMessage="1" showErrorMessage="1" sqref="P17:P52">
      <formula1>0</formula1>
      <formula2>20000</formula2>
    </dataValidation>
    <dataValidation type="list" allowBlank="1" showInputMessage="1" showErrorMessage="1" sqref="E7:H7">
      <formula1>"Excelentní vědecký pracovník ČVUT,Klíčový vědecký pracovník ČVUT,Vědecký pracovník ČVUT,Mladý vědecký pracovník ČVUT,Technik ČVUT,Doktorand ČVUT"</formula1>
    </dataValidation>
  </dataValidations>
  <printOptions horizontalCentered="1"/>
  <pageMargins left="0.74803149606299213" right="0.74803149606299213" top="0.55118110236220474" bottom="0.74803149606299213" header="0.31496062992125984" footer="0.31496062992125984"/>
  <pageSetup paperSize="9" scale="55" orientation="portrait" r:id="rId1"/>
  <headerFooter scaleWithDoc="0" alignWithMargins="0">
    <oddFooter>&amp;C&amp;G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01aa060-21e6-469a-ab83-69e633be4054">WS7S4EVQV6DV-109449291-77</_dlc_DocId>
    <_dlc_DocIdUrl xmlns="301aa060-21e6-469a-ab83-69e633be4054">
      <Url>https://sharepoint.cvut.cz/team/14000/CAAS/_layouts/15/DocIdRedir.aspx?ID=WS7S4EVQV6DV-109449291-77</Url>
      <Description>WS7S4EVQV6DV-109449291-77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ABF5D6F56D6243B30D7473F8F8E144" ma:contentTypeVersion="1" ma:contentTypeDescription="Vytvoří nový dokument" ma:contentTypeScope="" ma:versionID="3cb683abec4cbeba002e54f75daa7124">
  <xsd:schema xmlns:xsd="http://www.w3.org/2001/XMLSchema" xmlns:xs="http://www.w3.org/2001/XMLSchema" xmlns:p="http://schemas.microsoft.com/office/2006/metadata/properties" xmlns:ns2="301aa060-21e6-469a-ab83-69e633be4054" xmlns:ns3="4a316d45-c946-49a8-bb4e-c048ab55ec9f" targetNamespace="http://schemas.microsoft.com/office/2006/metadata/properties" ma:root="true" ma:fieldsID="682eaef1efc936c3f90e6e4703a619b8" ns2:_="" ns3:_="">
    <xsd:import namespace="301aa060-21e6-469a-ab83-69e633be4054"/>
    <xsd:import namespace="4a316d45-c946-49a8-bb4e-c048ab55ec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aa060-21e6-469a-ab83-69e633be405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Hodnota ID dokumentu" ma:description="Hodnota ID dokumentu přiřazená této položce" ma:internalName="_dlc_DocId" ma:readOnly="true">
      <xsd:simpleType>
        <xsd:restriction base="dms:Text"/>
      </xsd:simpleType>
    </xsd:element>
    <xsd:element name="_dlc_DocIdUrl" ma:index="9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16d45-c946-49a8-bb4e-c048ab55ec9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D4BDAE6-D1E4-4AEC-8402-C079C9A171DB}">
  <ds:schemaRefs>
    <ds:schemaRef ds:uri="4a316d45-c946-49a8-bb4e-c048ab55ec9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01aa060-21e6-469a-ab83-69e633be405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F753F5-624A-4CCF-AE5C-51D561B862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BF6BF7-39F0-4315-993E-541F1AFDE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aa060-21e6-469a-ab83-69e633be4054"/>
    <ds:schemaRef ds:uri="4a316d45-c946-49a8-bb4e-c048ab55e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B80C911-33ED-4692-847A-9EF24559A50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VÝKAZ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2019-03-01T08:46:21Z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0x01010060ABF5D6F56D6243B30D7473F8F8E144</vt:lpwstr>
  </property>
  <property fmtid="{D5CDD505-2E9C-101B-9397-08002B2CF9AE}" pid="3" name="_dlc_DocIdItemGuid">
    <vt:lpwstr>d445b6d8-1d41-43e0-a173-6146d939dab1</vt:lpwstr>
  </property>
  <property fmtid="{D5CDD505-2E9C-101B-9397-08002B2CF9AE}" pid="4" name="Komentář">
    <vt:lpwstr/>
  </property>
</Properties>
</file>